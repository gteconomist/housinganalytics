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9.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0.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1.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2.xml" ContentType="application/vnd.openxmlformats-officedocument.themeOverrid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hidePivotFieldList="1"/>
  <mc:AlternateContent xmlns:mc="http://schemas.openxmlformats.org/markup-compatibility/2006">
    <mc:Choice Requires="x15">
      <x15ac:absPath xmlns:x15ac="http://schemas.microsoft.com/office/spreadsheetml/2010/11/ac" url="/Users/alfie/Documents/Claude/Projects/Housing Analytics/"/>
    </mc:Choice>
  </mc:AlternateContent>
  <xr:revisionPtr revIDLastSave="0" documentId="8_{24F7F8DA-DDF0-1D43-BE77-BFC4919F2D90}" xr6:coauthVersionLast="47" xr6:coauthVersionMax="47" xr10:uidLastSave="{00000000-0000-0000-0000-000000000000}"/>
  <bookViews>
    <workbookView xWindow="0" yWindow="600" windowWidth="35600" windowHeight="22140" activeTab="7" xr2:uid="{F1A07360-41D8-45BD-84D5-6BDF6897F46C}"/>
  </bookViews>
  <sheets>
    <sheet name="Community Profile" sheetId="1" r:id="rId1"/>
    <sheet name="POPULATIONS" sheetId="8" r:id="rId2"/>
    <sheet name="Quality of Life" sheetId="4" r:id="rId3"/>
    <sheet name="Labor Force" sheetId="5" r:id="rId4"/>
    <sheet name="OnTheMap" sheetId="7" r:id="rId5"/>
    <sheet name="Woods + Poole" sheetId="2" r:id="rId6"/>
    <sheet name="Crime Data - waiting" sheetId="6" r:id="rId7"/>
    <sheet name="Housing"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4" l="1"/>
  <c r="F49" i="4"/>
  <c r="F50" i="4"/>
  <c r="F51" i="4"/>
  <c r="F47" i="4"/>
  <c r="R14" i="2"/>
  <c r="S14" i="2"/>
  <c r="T14" i="2"/>
  <c r="U14" i="2"/>
  <c r="V14" i="2"/>
  <c r="C14" i="2"/>
  <c r="D14" i="2"/>
  <c r="E14" i="2"/>
  <c r="F14" i="2"/>
  <c r="G14" i="2"/>
  <c r="H14" i="2"/>
  <c r="I14" i="2"/>
  <c r="J14" i="2"/>
  <c r="K14" i="2"/>
  <c r="L14" i="2"/>
  <c r="M14" i="2"/>
  <c r="N14" i="2"/>
  <c r="O14" i="2"/>
  <c r="P14" i="2"/>
  <c r="Q14" i="2"/>
  <c r="B14" i="2"/>
  <c r="C10" i="2"/>
  <c r="D10" i="2"/>
  <c r="E10" i="2"/>
  <c r="F10" i="2"/>
  <c r="G10" i="2"/>
  <c r="H10" i="2"/>
  <c r="I10" i="2"/>
  <c r="J10" i="2"/>
  <c r="K10" i="2"/>
  <c r="L10" i="2"/>
  <c r="M10" i="2"/>
  <c r="N10" i="2"/>
  <c r="O10" i="2"/>
  <c r="P10" i="2"/>
  <c r="Q10" i="2"/>
  <c r="R10" i="2"/>
  <c r="S10" i="2"/>
  <c r="T10" i="2"/>
  <c r="U10" i="2"/>
  <c r="V10" i="2"/>
  <c r="B10" i="2"/>
  <c r="C6" i="2"/>
  <c r="D6" i="2"/>
  <c r="E6" i="2"/>
  <c r="F6" i="2"/>
  <c r="G6" i="2"/>
  <c r="H6" i="2"/>
  <c r="I6" i="2"/>
  <c r="J6" i="2"/>
  <c r="K6" i="2"/>
  <c r="L6" i="2"/>
  <c r="M6" i="2"/>
  <c r="N6" i="2"/>
  <c r="O6" i="2"/>
  <c r="P6" i="2"/>
  <c r="Q6" i="2"/>
  <c r="R6" i="2"/>
  <c r="S6" i="2"/>
  <c r="T6" i="2"/>
  <c r="U6" i="2"/>
  <c r="V6" i="2"/>
  <c r="B6" i="2"/>
  <c r="E93" i="3"/>
  <c r="F93" i="3"/>
  <c r="G93" i="3"/>
  <c r="H93" i="3"/>
  <c r="I93" i="3"/>
  <c r="J93" i="3"/>
  <c r="K93" i="3"/>
  <c r="L93" i="3"/>
  <c r="M93" i="3"/>
  <c r="N93" i="3"/>
  <c r="P93" i="3"/>
  <c r="Q93" i="3"/>
  <c r="R93" i="3"/>
  <c r="S93" i="3"/>
  <c r="T93" i="3"/>
  <c r="U93" i="3"/>
  <c r="V93" i="3"/>
  <c r="W93" i="3"/>
  <c r="X93" i="3"/>
  <c r="Y93" i="3"/>
  <c r="Z93" i="3"/>
  <c r="AB93" i="3"/>
  <c r="AC93" i="3"/>
  <c r="AD93" i="3"/>
  <c r="AE93" i="3"/>
  <c r="AF93" i="3"/>
  <c r="AG93" i="3"/>
  <c r="AH93" i="3"/>
  <c r="AI93" i="3"/>
  <c r="AJ93" i="3"/>
  <c r="AK93" i="3"/>
  <c r="AL93" i="3"/>
  <c r="AN93" i="3"/>
  <c r="AO93" i="3"/>
  <c r="AP93" i="3"/>
  <c r="AQ93" i="3"/>
  <c r="AR93" i="3"/>
  <c r="AS93" i="3"/>
  <c r="AT93" i="3"/>
  <c r="AU93" i="3"/>
  <c r="AV93" i="3"/>
  <c r="AW93" i="3"/>
  <c r="AX93" i="3"/>
  <c r="AZ93" i="3"/>
  <c r="BA93" i="3"/>
  <c r="BB93" i="3"/>
  <c r="BC93" i="3"/>
  <c r="BD93" i="3"/>
  <c r="BE93" i="3"/>
  <c r="BF93" i="3"/>
  <c r="BG93" i="3"/>
  <c r="BH93" i="3"/>
  <c r="BI93" i="3"/>
  <c r="BJ93" i="3"/>
  <c r="BL93" i="3"/>
  <c r="BM93" i="3"/>
  <c r="BN93" i="3"/>
  <c r="BO93" i="3"/>
  <c r="BP93" i="3"/>
  <c r="BQ93" i="3"/>
  <c r="BR93" i="3"/>
  <c r="BS93" i="3"/>
  <c r="BT93" i="3"/>
  <c r="BU93" i="3"/>
  <c r="BV93" i="3"/>
  <c r="BX93" i="3"/>
  <c r="BY93" i="3"/>
  <c r="BZ93" i="3"/>
  <c r="CA93" i="3"/>
  <c r="CB93" i="3"/>
  <c r="CC93" i="3"/>
  <c r="CD93" i="3"/>
  <c r="CE93" i="3"/>
  <c r="CF93" i="3"/>
  <c r="CG93" i="3"/>
  <c r="CH93" i="3"/>
  <c r="CJ93" i="3"/>
  <c r="CK93" i="3"/>
  <c r="CL93" i="3"/>
  <c r="CM93" i="3"/>
  <c r="CN93" i="3"/>
  <c r="CO93" i="3"/>
  <c r="CP93" i="3"/>
  <c r="CQ93" i="3"/>
  <c r="CR93" i="3"/>
  <c r="CS93" i="3"/>
  <c r="CT93" i="3"/>
  <c r="CV93" i="3"/>
  <c r="CW93" i="3"/>
  <c r="CX93" i="3"/>
  <c r="CY93" i="3"/>
  <c r="CZ93" i="3"/>
  <c r="DA93" i="3"/>
  <c r="DB93" i="3"/>
  <c r="DC93" i="3"/>
  <c r="DD93" i="3"/>
  <c r="DE93" i="3"/>
  <c r="DF93" i="3"/>
  <c r="DH93" i="3"/>
  <c r="DI93" i="3"/>
  <c r="DJ93" i="3"/>
  <c r="DK93" i="3"/>
  <c r="DL93" i="3"/>
  <c r="DM93" i="3"/>
  <c r="DN93" i="3"/>
  <c r="DO93" i="3"/>
  <c r="DP93" i="3"/>
  <c r="DQ93" i="3"/>
  <c r="DR93" i="3"/>
  <c r="DT93" i="3"/>
  <c r="DU93" i="3"/>
  <c r="DV93" i="3"/>
  <c r="DW93" i="3"/>
  <c r="DX93" i="3"/>
  <c r="DY93" i="3"/>
  <c r="DZ93" i="3"/>
  <c r="EA93" i="3"/>
  <c r="EB93" i="3"/>
  <c r="EC93" i="3"/>
  <c r="ED93" i="3"/>
  <c r="EF93" i="3"/>
  <c r="EG93" i="3"/>
  <c r="EH93" i="3"/>
  <c r="D93" i="3"/>
  <c r="C105" i="3" s="1"/>
  <c r="E76" i="3"/>
  <c r="G76" i="3"/>
  <c r="I76" i="3"/>
  <c r="C76" i="3"/>
  <c r="C20" i="3"/>
  <c r="D20" i="3"/>
  <c r="D14" i="3"/>
  <c r="E14" i="3"/>
  <c r="F14" i="3"/>
  <c r="G14" i="3"/>
  <c r="H14" i="3"/>
  <c r="C14" i="3"/>
  <c r="C13" i="3"/>
  <c r="D13" i="3"/>
  <c r="E13" i="3"/>
  <c r="F13" i="3"/>
  <c r="G13" i="3"/>
  <c r="H13" i="3"/>
  <c r="H5" i="3"/>
  <c r="H4" i="3"/>
  <c r="F5" i="3"/>
  <c r="F4" i="3"/>
  <c r="D5" i="3"/>
  <c r="D4" i="3"/>
  <c r="H49" i="3"/>
  <c r="H53" i="3"/>
  <c r="H52" i="3"/>
  <c r="H51" i="3"/>
  <c r="H50" i="3"/>
  <c r="H40" i="3"/>
  <c r="H41" i="3"/>
  <c r="H42" i="3"/>
  <c r="H43" i="3"/>
  <c r="H44" i="3"/>
  <c r="G41" i="3"/>
  <c r="G42" i="3"/>
  <c r="G43" i="3"/>
  <c r="G44" i="3"/>
  <c r="G40" i="3"/>
  <c r="G49" i="3"/>
  <c r="G50" i="3"/>
  <c r="G51" i="3"/>
  <c r="G52" i="3"/>
  <c r="G53" i="3"/>
  <c r="E35" i="3"/>
  <c r="F35" i="3" s="1"/>
  <c r="E34" i="3"/>
  <c r="F34" i="3" s="1"/>
  <c r="E33" i="3"/>
  <c r="F33" i="3" s="1"/>
  <c r="E32" i="3"/>
  <c r="F32" i="3" s="1"/>
  <c r="E31" i="3"/>
  <c r="F31" i="3" s="1"/>
  <c r="E30" i="3"/>
  <c r="F30" i="3" s="1"/>
  <c r="E29" i="3"/>
  <c r="F29" i="3" s="1"/>
  <c r="E28" i="3"/>
  <c r="F28" i="3" s="1"/>
  <c r="C106" i="3" l="1"/>
  <c r="C104" i="3"/>
  <c r="C96" i="3"/>
  <c r="D106" i="3" s="1"/>
  <c r="C103" i="3"/>
  <c r="C101" i="3"/>
  <c r="C102" i="3"/>
  <c r="C100" i="3"/>
  <c r="C99" i="3"/>
  <c r="C98" i="3"/>
  <c r="C97" i="3"/>
  <c r="D28" i="3"/>
</calcChain>
</file>

<file path=xl/sharedStrings.xml><?xml version="1.0" encoding="utf-8"?>
<sst xmlns="http://schemas.openxmlformats.org/spreadsheetml/2006/main" count="1058" uniqueCount="659">
  <si>
    <t>1-Person</t>
  </si>
  <si>
    <t>2-Person</t>
  </si>
  <si>
    <t>3-Person</t>
  </si>
  <si>
    <t>4-Person</t>
  </si>
  <si>
    <t>5-Person</t>
  </si>
  <si>
    <t>6-Person</t>
  </si>
  <si>
    <t>7-Person</t>
  </si>
  <si>
    <t>8-Person</t>
  </si>
  <si>
    <t>Source: HUD Year: 2026</t>
  </si>
  <si>
    <t>Atlanta - Sandy Springs - Roswell FMR Area Income Limits</t>
  </si>
  <si>
    <t xml:space="preserve">Cost burden &gt; 30% </t>
  </si>
  <si>
    <t xml:space="preserve">Cost burden &gt; 50% </t>
  </si>
  <si>
    <t>Total</t>
  </si>
  <si>
    <t>Income by Cost Burden for HUD Area Median Family Income</t>
  </si>
  <si>
    <t>Source: ACS Year: 2018-2022</t>
  </si>
  <si>
    <t>Income by Cost Burden Owners</t>
  </si>
  <si>
    <t>Income by Cost Burden Renters</t>
  </si>
  <si>
    <t>Chamblee</t>
  </si>
  <si>
    <t>Percent of Cost Burdened (&gt;30%) HH by HAMFI</t>
  </si>
  <si>
    <t>Percent of Cost Burdened (&gt;50%) HH by HAMFI</t>
  </si>
  <si>
    <t xml:space="preserve"> </t>
  </si>
  <si>
    <t xml:space="preserve">   Owner Occupied</t>
  </si>
  <si>
    <t xml:space="preserve">   Renter Occupied</t>
  </si>
  <si>
    <t>Occupied Housing Units</t>
  </si>
  <si>
    <t>DeKalb County</t>
  </si>
  <si>
    <t>Atlanta-Sandy Springs-Roswell, GA Metro Area</t>
  </si>
  <si>
    <t xml:space="preserve">   1-Person Household</t>
  </si>
  <si>
    <t xml:space="preserve">   2-Person Household</t>
  </si>
  <si>
    <t xml:space="preserve">   3-Person Household</t>
  </si>
  <si>
    <t xml:space="preserve">   4-Person Household</t>
  </si>
  <si>
    <t>Source: ACS Year: 2024 5-Year</t>
  </si>
  <si>
    <t xml:space="preserve">   5+ Person</t>
  </si>
  <si>
    <t>1 and 2 Person Households</t>
  </si>
  <si>
    <t>Median Gross Rent:</t>
  </si>
  <si>
    <t xml:space="preserve">   No Bedroom</t>
  </si>
  <si>
    <t xml:space="preserve">   1 Bedroom</t>
  </si>
  <si>
    <t xml:space="preserve">   2 Bedrooms</t>
  </si>
  <si>
    <t xml:space="preserve">   3 Bedrooms</t>
  </si>
  <si>
    <t xml:space="preserve">   4 Bedrooms</t>
  </si>
  <si>
    <t xml:space="preserve">   5 or More Bedrooms</t>
  </si>
  <si>
    <t>Dekalb County</t>
  </si>
  <si>
    <t>Metro</t>
  </si>
  <si>
    <t>Median Home Value</t>
  </si>
  <si>
    <t>Increase 2015-2024</t>
  </si>
  <si>
    <t>Source: ACS Year: 2015, 2019, and 2024 5-Year</t>
  </si>
  <si>
    <t xml:space="preserve">HH Income &lt;= 30% </t>
  </si>
  <si>
    <t xml:space="preserve">HH Income &gt;30% to &lt;=50% </t>
  </si>
  <si>
    <t xml:space="preserve">HH Income &gt;50% to &lt;=80% </t>
  </si>
  <si>
    <t xml:space="preserve">HH Income &gt;80% to &lt;=100% </t>
  </si>
  <si>
    <t xml:space="preserve">HH Income &gt;100% </t>
  </si>
  <si>
    <t>Vacant Housing Units:</t>
  </si>
  <si>
    <t xml:space="preserve">   For Rent</t>
  </si>
  <si>
    <t xml:space="preserve">   For Sale Only</t>
  </si>
  <si>
    <t xml:space="preserve">   Other Vacant</t>
  </si>
  <si>
    <t>Vacancy Status by Type of Vacancy</t>
  </si>
  <si>
    <t>MSA</t>
  </si>
  <si>
    <t>State</t>
  </si>
  <si>
    <t xml:space="preserve">   3 or 4</t>
  </si>
  <si>
    <t xml:space="preserve">   5 to 9</t>
  </si>
  <si>
    <t xml:space="preserve">   10 to 19</t>
  </si>
  <si>
    <t xml:space="preserve">   20 to 49</t>
  </si>
  <si>
    <t xml:space="preserve">   50 or More</t>
  </si>
  <si>
    <t xml:space="preserve">   Mobile Home</t>
  </si>
  <si>
    <t xml:space="preserve">   Boat, Rv, Van, Etc.</t>
  </si>
  <si>
    <t>Other Vacant as Percent of Total Units</t>
  </si>
  <si>
    <t xml:space="preserve">   1 Unit</t>
  </si>
  <si>
    <t>Total Housing Units</t>
  </si>
  <si>
    <t>Townhome</t>
  </si>
  <si>
    <t xml:space="preserve">      Single-Family Detached</t>
  </si>
  <si>
    <t>Duplex</t>
  </si>
  <si>
    <t>2/28/2015</t>
  </si>
  <si>
    <t>3/31/2015</t>
  </si>
  <si>
    <t>4/30/2015</t>
  </si>
  <si>
    <t>5/31/2015</t>
  </si>
  <si>
    <t>6/30/2015</t>
  </si>
  <si>
    <t>7/31/2015</t>
  </si>
  <si>
    <t>8/31/2015</t>
  </si>
  <si>
    <t>9/30/2015</t>
  </si>
  <si>
    <t>10/31/2015</t>
  </si>
  <si>
    <t>11/30/2015</t>
  </si>
  <si>
    <t>12/31/2015</t>
  </si>
  <si>
    <t>2/29/2016</t>
  </si>
  <si>
    <t>3/31/2016</t>
  </si>
  <si>
    <t>4/30/2016</t>
  </si>
  <si>
    <t>5/31/2016</t>
  </si>
  <si>
    <t>6/30/2016</t>
  </si>
  <si>
    <t>7/31/2016</t>
  </si>
  <si>
    <t>8/31/2016</t>
  </si>
  <si>
    <t>9/30/2016</t>
  </si>
  <si>
    <t>10/31/2016</t>
  </si>
  <si>
    <t>11/30/2016</t>
  </si>
  <si>
    <t>12/31/2016</t>
  </si>
  <si>
    <t>2/28/2017</t>
  </si>
  <si>
    <t>3/31/2017</t>
  </si>
  <si>
    <t>4/30/2017</t>
  </si>
  <si>
    <t>5/31/2017</t>
  </si>
  <si>
    <t>6/30/2017</t>
  </si>
  <si>
    <t>7/31/2017</t>
  </si>
  <si>
    <t>8/31/2017</t>
  </si>
  <si>
    <t>9/30/2017</t>
  </si>
  <si>
    <t>10/31/2017</t>
  </si>
  <si>
    <t>11/30/2017</t>
  </si>
  <si>
    <t>12/31/2017</t>
  </si>
  <si>
    <t>2/28/2018</t>
  </si>
  <si>
    <t>3/31/2018</t>
  </si>
  <si>
    <t>4/30/2018</t>
  </si>
  <si>
    <t>5/31/2018</t>
  </si>
  <si>
    <t>6/30/2018</t>
  </si>
  <si>
    <t>7/31/2018</t>
  </si>
  <si>
    <t>8/31/2018</t>
  </si>
  <si>
    <t>9/30/2018</t>
  </si>
  <si>
    <t>10/31/2018</t>
  </si>
  <si>
    <t>11/30/2018</t>
  </si>
  <si>
    <t>12/31/2018</t>
  </si>
  <si>
    <t>2/28/2019</t>
  </si>
  <si>
    <t>3/31/2019</t>
  </si>
  <si>
    <t>4/30/2019</t>
  </si>
  <si>
    <t>5/31/2019</t>
  </si>
  <si>
    <t>6/30/2019</t>
  </si>
  <si>
    <t>7/31/2019</t>
  </si>
  <si>
    <t>8/31/2019</t>
  </si>
  <si>
    <t>9/30/2019</t>
  </si>
  <si>
    <t>10/31/2019</t>
  </si>
  <si>
    <t>11/30/2019</t>
  </si>
  <si>
    <t>12/31/2019</t>
  </si>
  <si>
    <t>2/29/2020</t>
  </si>
  <si>
    <t>3/31/2020</t>
  </si>
  <si>
    <t>4/30/2020</t>
  </si>
  <si>
    <t>5/31/2020</t>
  </si>
  <si>
    <t>6/30/2020</t>
  </si>
  <si>
    <t>7/31/2020</t>
  </si>
  <si>
    <t>8/31/2020</t>
  </si>
  <si>
    <t>9/30/2020</t>
  </si>
  <si>
    <t>10/31/2020</t>
  </si>
  <si>
    <t>11/30/2020</t>
  </si>
  <si>
    <t>12/31/2020</t>
  </si>
  <si>
    <t>2/28/2021</t>
  </si>
  <si>
    <t>3/31/2021</t>
  </si>
  <si>
    <t>4/30/2021</t>
  </si>
  <si>
    <t>5/31/2021</t>
  </si>
  <si>
    <t>6/30/2021</t>
  </si>
  <si>
    <t>7/31/2021</t>
  </si>
  <si>
    <t>8/31/2021</t>
  </si>
  <si>
    <t>9/30/2021</t>
  </si>
  <si>
    <t>10/31/2021</t>
  </si>
  <si>
    <t>11/30/2021</t>
  </si>
  <si>
    <t>12/31/2021</t>
  </si>
  <si>
    <t>2/28/2022</t>
  </si>
  <si>
    <t>3/31/2022</t>
  </si>
  <si>
    <t>4/30/2022</t>
  </si>
  <si>
    <t>5/31/2022</t>
  </si>
  <si>
    <t>6/30/2022</t>
  </si>
  <si>
    <t>7/31/2022</t>
  </si>
  <si>
    <t>8/31/2022</t>
  </si>
  <si>
    <t>9/30/2022</t>
  </si>
  <si>
    <t>10/31/2022</t>
  </si>
  <si>
    <t>11/30/2022</t>
  </si>
  <si>
    <t>12/31/2022</t>
  </si>
  <si>
    <t>2/28/2023</t>
  </si>
  <si>
    <t>3/31/2023</t>
  </si>
  <si>
    <t>4/30/2023</t>
  </si>
  <si>
    <t>5/31/2023</t>
  </si>
  <si>
    <t>6/30/2023</t>
  </si>
  <si>
    <t>7/31/2023</t>
  </si>
  <si>
    <t>8/31/2023</t>
  </si>
  <si>
    <t>9/30/2023</t>
  </si>
  <si>
    <t>10/31/2023</t>
  </si>
  <si>
    <t>11/30/2023</t>
  </si>
  <si>
    <t>12/31/2023</t>
  </si>
  <si>
    <t>2/29/2024</t>
  </si>
  <si>
    <t>3/31/2024</t>
  </si>
  <si>
    <t>4/30/2024</t>
  </si>
  <si>
    <t>5/31/2024</t>
  </si>
  <si>
    <t>6/30/2024</t>
  </si>
  <si>
    <t>7/31/2024</t>
  </si>
  <si>
    <t>8/31/2024</t>
  </si>
  <si>
    <t>9/30/2024</t>
  </si>
  <si>
    <t>10/31/2024</t>
  </si>
  <si>
    <t>11/30/2024</t>
  </si>
  <si>
    <t>12/31/2024</t>
  </si>
  <si>
    <t>2/28/2025</t>
  </si>
  <si>
    <t>3/31/2025</t>
  </si>
  <si>
    <t>4/30/2025</t>
  </si>
  <si>
    <t>5/31/2025</t>
  </si>
  <si>
    <t>6/30/2025</t>
  </si>
  <si>
    <t>7/31/2025</t>
  </si>
  <si>
    <t>8/31/2025</t>
  </si>
  <si>
    <t>9/30/2025</t>
  </si>
  <si>
    <t>10/31/2025</t>
  </si>
  <si>
    <t>11/30/2025</t>
  </si>
  <si>
    <t>12/31/2025</t>
  </si>
  <si>
    <t>2/28/2026</t>
  </si>
  <si>
    <t>3/31/2026</t>
  </si>
  <si>
    <t>4/30/2026</t>
  </si>
  <si>
    <t>Zillow Average Home Value</t>
  </si>
  <si>
    <t>2016</t>
  </si>
  <si>
    <t>2017</t>
  </si>
  <si>
    <t>2018</t>
  </si>
  <si>
    <t>2019</t>
  </si>
  <si>
    <t>2020</t>
  </si>
  <si>
    <t>2021</t>
  </si>
  <si>
    <t>2022</t>
  </si>
  <si>
    <t>2023</t>
  </si>
  <si>
    <t>2024</t>
  </si>
  <si>
    <t>2025</t>
  </si>
  <si>
    <t>2026</t>
  </si>
  <si>
    <t>YYYY</t>
  </si>
  <si>
    <t>Annual Averages</t>
  </si>
  <si>
    <t>Source: Zillow June 2026</t>
  </si>
  <si>
    <t xml:space="preserve">TOTAL POPULATION </t>
  </si>
  <si>
    <t>(in thousands)</t>
  </si>
  <si>
    <t>GEORGIA</t>
  </si>
  <si>
    <r>
      <t xml:space="preserve">Total Population (change 2020-2035) actual </t>
    </r>
    <r>
      <rPr>
        <b/>
        <sz val="11"/>
        <color theme="1"/>
        <rFont val="Roboto"/>
      </rPr>
      <t>numbers</t>
    </r>
    <r>
      <rPr>
        <sz val="11"/>
        <color theme="1"/>
        <rFont val="Roboto"/>
      </rPr>
      <t xml:space="preserve"> forecast</t>
    </r>
  </si>
  <si>
    <t xml:space="preserve">Chamblee </t>
  </si>
  <si>
    <t xml:space="preserve"> 2015 - 2026 - 2035
</t>
  </si>
  <si>
    <t>Atlanta MSA</t>
  </si>
  <si>
    <t>ATLANTA MSA</t>
  </si>
  <si>
    <t>DEKALB</t>
  </si>
  <si>
    <t xml:space="preserve">School Quality Ranking </t>
  </si>
  <si>
    <t>School</t>
  </si>
  <si>
    <t>Level</t>
  </si>
  <si>
    <t>Enrollment</t>
  </si>
  <si>
    <t>Student-Teacher Ratio</t>
  </si>
  <si>
    <t>Free/Reduced Lunch %</t>
  </si>
  <si>
    <t>2015 Percentile Rank</t>
  </si>
  <si>
    <t>2020 Estimated Percentile Rank</t>
  </si>
  <si>
    <t>2025 Percentile Rank</t>
  </si>
  <si>
    <t>2025 State Rank</t>
  </si>
  <si>
    <t>2025 County Rank</t>
  </si>
  <si>
    <t>2025 SchoolDigger Rating</t>
  </si>
  <si>
    <t>Students Meeting Standards (2024-25)</t>
  </si>
  <si>
    <t>Dresden Elementary School</t>
  </si>
  <si>
    <t>Elementary (PK-5)</t>
  </si>
  <si>
    <t>12th</t>
  </si>
  <si>
    <t>5th</t>
  </si>
  <si>
    <t>&lt;1st</t>
  </si>
  <si>
    <t>1232 of 1238</t>
  </si>
  <si>
    <t>80 of 81</t>
  </si>
  <si>
    <t>0 Stars</t>
  </si>
  <si>
    <t>Huntley Hills Elementary School</t>
  </si>
  <si>
    <t>54th</t>
  </si>
  <si>
    <t>48th</t>
  </si>
  <si>
    <t>43rd</t>
  </si>
  <si>
    <t>702 of 1238</t>
  </si>
  <si>
    <t>28 of 81</t>
  </si>
  <si>
    <t>2 Stars</t>
  </si>
  <si>
    <t>Henderson Middle School</t>
  </si>
  <si>
    <t>Middle (6-8)</t>
  </si>
  <si>
    <t>77th</t>
  </si>
  <si>
    <t>65th</t>
  </si>
  <si>
    <t>335 of 584</t>
  </si>
  <si>
    <t>6 of 21</t>
  </si>
  <si>
    <t>Chamblee Middle School</t>
  </si>
  <si>
    <t>87th</t>
  </si>
  <si>
    <t>90th</t>
  </si>
  <si>
    <t>91st</t>
  </si>
  <si>
    <t>50 of 584</t>
  </si>
  <si>
    <t>2 of 21</t>
  </si>
  <si>
    <t>5 Stars</t>
  </si>
  <si>
    <t>Chamblee High School</t>
  </si>
  <si>
    <t>High (9-12)</t>
  </si>
  <si>
    <t>93rd</t>
  </si>
  <si>
    <t>88th</t>
  </si>
  <si>
    <t>81st</t>
  </si>
  <si>
    <t>85 of 452</t>
  </si>
  <si>
    <t>3 of 23</t>
  </si>
  <si>
    <t>4 Stars</t>
  </si>
  <si>
    <t>Rank</t>
  </si>
  <si>
    <t>2025 Percentile</t>
  </si>
  <si>
    <t>Rating</t>
  </si>
  <si>
    <t>⭐⭐⭐⭐⭐</t>
  </si>
  <si>
    <t>⭐⭐⭐⭐</t>
  </si>
  <si>
    <t>Huntley Hills Elementary</t>
  </si>
  <si>
    <t>⭐⭐</t>
  </si>
  <si>
    <t>Dresden Elementary</t>
  </si>
  <si>
    <t>⭐</t>
  </si>
  <si>
    <t>Assessment</t>
  </si>
  <si>
    <t>Excellent; top 9% statewide and improving</t>
  </si>
  <si>
    <t>Very strong; top 19% statewide despite some decline</t>
  </si>
  <si>
    <t>Around average; below state average test scores</t>
  </si>
  <si>
    <t>Decent county ranking but statewide decline</t>
  </si>
  <si>
    <t>Significant concerns; among the lowest-ranked elementary schools in Georgia</t>
  </si>
  <si>
    <t>Source: School Digger</t>
  </si>
  <si>
    <t xml:space="preserve"> From website: "The city of Chamblee, Georgia is home to 5 schools, including 2 elementary schools, 2 middle schools, and 1 high school. The schools in this area show a mix of high-performing and low-performing institutions, with the Chamblee Middle School and Chamblee High School standing out as particularly strong performers, while the Dresden Elementary School struggles academically.
Chamblee Middle School consistently ranks among the top 50 middle schools in Georgia, with a 5-star rating from SchoolDigger. It has significantly higher test scores than the county and state averages across multiple subjects and grade levels. Similarly, Chamblee High School performs well, ranking in the top 100 high schools in Georgia and maintaining a 4-star rating from SchoolDigger. It has higher test scores than the county and state in several subjects, including a 61.7% proficiency rate in American Literature and Composition, compared to 32.9% for the county and 40.4% for the state.
In contrast, Dresden Elementary School has very low proficiency rates, with only 3-12% of students proficient in the subjects tested. This suggests potential issues with the feeder pattern or other factors impacting the elementary schools in the Chamblee area. The wide range in free/reduced lunch rates across the schools, from 37.18% at Chamblee Middle School to 75.14% at Dresden Elementary School, indicates significant socioeconomic diversity within the Chamblee community, which may contribute to the performance differences observed."</t>
  </si>
  <si>
    <t>Educational Attainment</t>
  </si>
  <si>
    <t>Age Distribution: Population by Age Cohort numbers and % change</t>
  </si>
  <si>
    <t>Under 18 (2015)</t>
  </si>
  <si>
    <t>Under 18 (2024)</t>
  </si>
  <si>
    <t>% Change</t>
  </si>
  <si>
    <t>18-24 (2015)</t>
  </si>
  <si>
    <t>18-24 (2024)</t>
  </si>
  <si>
    <t>25-44 (2015)</t>
  </si>
  <si>
    <t>25-44 (2024)</t>
  </si>
  <si>
    <t>45-64 (2015)</t>
  </si>
  <si>
    <t>45-64 (2024)</t>
  </si>
  <si>
    <t>65+ (2015)</t>
  </si>
  <si>
    <t>65+ (2024)</t>
  </si>
  <si>
    <t>Georgia</t>
  </si>
  <si>
    <t>25-44</t>
  </si>
  <si>
    <t>45-64</t>
  </si>
  <si>
    <t>65+</t>
  </si>
  <si>
    <t>Brookhaven</t>
  </si>
  <si>
    <t>Doraville</t>
  </si>
  <si>
    <t>Dunwoody</t>
  </si>
  <si>
    <t>Sandy Springs</t>
  </si>
  <si>
    <t>Under 18 (2020)</t>
  </si>
  <si>
    <t>18-24 (2020)</t>
  </si>
  <si>
    <t>25-44 (2020)</t>
  </si>
  <si>
    <t>45-64 (2020)</t>
  </si>
  <si>
    <t>65+ (2020)</t>
  </si>
  <si>
    <t>% Change is from 2015-2024</t>
  </si>
  <si>
    <t>Source: ACS 5-Year Social Explorer</t>
  </si>
  <si>
    <t>Median Age</t>
  </si>
  <si>
    <t>Median Age (2015)</t>
  </si>
  <si>
    <t>Median Age (2020)</t>
  </si>
  <si>
    <t>Median Age (2024)</t>
  </si>
  <si>
    <t>Male Median Age (2015)</t>
  </si>
  <si>
    <t>Male Median Age (2020)</t>
  </si>
  <si>
    <t>Male Median Age (2024)</t>
  </si>
  <si>
    <t>Female Median Age (2015)</t>
  </si>
  <si>
    <t>Female Median Age (2020)</t>
  </si>
  <si>
    <t>Female Median Age (2024)</t>
  </si>
  <si>
    <t>Race/Ethnicity</t>
  </si>
  <si>
    <t>White NH (%) 2015</t>
  </si>
  <si>
    <t>White NH (%) 2024</t>
  </si>
  <si>
    <t>Black NH (%) 2015</t>
  </si>
  <si>
    <t>Black NH (%) 2024</t>
  </si>
  <si>
    <t>Asian NH (%) 2015</t>
  </si>
  <si>
    <t>Asian NH (%) 2024</t>
  </si>
  <si>
    <t>Other NH (%) 2015</t>
  </si>
  <si>
    <t>Other NH (%) 2024</t>
  </si>
  <si>
    <t>Two+ Races NH (%) 2015</t>
  </si>
  <si>
    <t>Two+ Races NH (%) 2024</t>
  </si>
  <si>
    <t>Hispanic/Latino (%) 2015</t>
  </si>
  <si>
    <t>Hispanic/Latino (%) 2024</t>
  </si>
  <si>
    <t>NH = not hispanic/latino</t>
  </si>
  <si>
    <t>% Change (2015-2024)</t>
  </si>
  <si>
    <t>% Change Ranking 2020-2025</t>
  </si>
  <si>
    <t>Less than HS (2015)</t>
  </si>
  <si>
    <t>Less than HS (2020)</t>
  </si>
  <si>
    <t>Less than HS (2024)</t>
  </si>
  <si>
    <t>HS Graduate (2015)</t>
  </si>
  <si>
    <t>HS Graduate (2020)</t>
  </si>
  <si>
    <t>HS Graduate (2024)</t>
  </si>
  <si>
    <t>Some College (2015)</t>
  </si>
  <si>
    <t>Some College (2020)</t>
  </si>
  <si>
    <t>Some College (2024)</t>
  </si>
  <si>
    <t>Bachelor's+ (2015)</t>
  </si>
  <si>
    <t>Bachelor's+ (2020)</t>
  </si>
  <si>
    <t>Bachelor's+ (2024)</t>
  </si>
  <si>
    <t>Source: Social Explorer</t>
  </si>
  <si>
    <t>High School Dropout 16-19 Years Old</t>
  </si>
  <si>
    <t>Dropouts (2015)</t>
  </si>
  <si>
    <t>Dropouts (2020)</t>
  </si>
  <si>
    <t>Dropouts (2024)</t>
  </si>
  <si>
    <t>HS Graduates/Enrolled (2015)</t>
  </si>
  <si>
    <t>HS Graduates/Enrolled (2020)</t>
  </si>
  <si>
    <t>HS Graduates/Enrolled (2024)</t>
  </si>
  <si>
    <t>% Change is from 2015 - 2024</t>
  </si>
  <si>
    <t xml:space="preserve">Median Household Income </t>
  </si>
  <si>
    <t>Median Household Income (2015)</t>
  </si>
  <si>
    <t>Median Household Income (2020)</t>
  </si>
  <si>
    <t>Median Household Income (2024)</t>
  </si>
  <si>
    <t>Owner Occupied MHI (2015)</t>
  </si>
  <si>
    <t>Owner Occupied MHI (2020)</t>
  </si>
  <si>
    <t>Owner Occupied MHI (2024)</t>
  </si>
  <si>
    <t>Renter Occupied MHI (2015)</t>
  </si>
  <si>
    <t>Renter Occupied MHI (2020)</t>
  </si>
  <si>
    <t>Renter Occupied MHI (2024)</t>
  </si>
  <si>
    <t>Income by Age Cohort</t>
  </si>
  <si>
    <t>Income by Renters v Owners</t>
  </si>
  <si>
    <t>Owner Occupied Income (2015)</t>
  </si>
  <si>
    <t>Owner Occupied Income (2020)</t>
  </si>
  <si>
    <t>Owner Occupied Income (2024)</t>
  </si>
  <si>
    <t>Renter Occupied Income (2015)</t>
  </si>
  <si>
    <t>Renter Occupied Income (2020)</t>
  </si>
  <si>
    <t>Renter Occupied Income (2024)</t>
  </si>
  <si>
    <t>Owner-Renter Gap (2024)</t>
  </si>
  <si>
    <r>
      <rPr>
        <b/>
        <sz val="11"/>
        <color theme="1"/>
        <rFont val="Aptos Narrow"/>
        <family val="2"/>
        <scheme val="minor"/>
      </rPr>
      <t xml:space="preserve">Takeaways noticed: </t>
    </r>
    <r>
      <rPr>
        <sz val="11"/>
        <color theme="1"/>
        <rFont val="Aptos Narrow"/>
        <family val="2"/>
        <scheme val="minor"/>
      </rPr>
      <t>Chamblee's owner households earned $130,000 in 2024, more than double renter households ($61,141).
Chamblee's renter income increased 53.2% since 2015, almost matching the growth of owner income (58.6%).
Doraville experienced the strongest owner-income growth (+103.0%).
Sandy Springs experienced the strongest renter-income growth (+87.8%).
Brookhaven and Dunwoody have the largest owner-renter income gaps, exceeding $100,000 annually.
Chamblee's owner-renter income gap ($68,859) is substantially smaller than Brookhaven, Dunwoody, and Sandy Springs, suggesting a somewhat more mixed-income housing market.</t>
    </r>
  </si>
  <si>
    <t>Age Cohort</t>
  </si>
  <si>
    <t>&lt;$25,000</t>
  </si>
  <si>
    <t>$25,000-$49,999</t>
  </si>
  <si>
    <t>$50,000-$74,999</t>
  </si>
  <si>
    <t>$75,000-$99,999</t>
  </si>
  <si>
    <t>$100,000+</t>
  </si>
  <si>
    <t>Under 25</t>
  </si>
  <si>
    <t>Source: Social Explorer, US Census Bureau  B19037</t>
  </si>
  <si>
    <t>Source: Social Explorer, US Census Bureau B25119</t>
  </si>
  <si>
    <t>Unemployment Rate</t>
  </si>
  <si>
    <t>Labor Force Participation Rate</t>
  </si>
  <si>
    <t>Commuting Patterns, Inflow-Outflow Analysis</t>
  </si>
  <si>
    <t>Daytime Population = Resident Population + Inflow Workers − Outflow Workers</t>
  </si>
  <si>
    <t>Nighttime Population = people who reside in the area (census data)</t>
  </si>
  <si>
    <t>Determine daytime v night population for present (2023 most recent)</t>
  </si>
  <si>
    <t>Metric</t>
  </si>
  <si>
    <t>Value</t>
  </si>
  <si>
    <t>Residential Population (Nighttime Population, 2024)</t>
  </si>
  <si>
    <t>Inflow Workers (2023)</t>
  </si>
  <si>
    <t>Outflow Workers (2023)</t>
  </si>
  <si>
    <t>Net Inflow Workers</t>
  </si>
  <si>
    <t>Daytime Population Calculation</t>
  </si>
  <si>
    <t>30,895 + 20,097 - 9,356</t>
  </si>
  <si>
    <t>Estimated Daytime Population</t>
  </si>
  <si>
    <t>Difference Between Daytime and Nighttime Population</t>
  </si>
  <si>
    <t>Percent Increase During Daytime</t>
  </si>
  <si>
    <t>Population Metric</t>
  </si>
  <si>
    <t>Nighttime Population (Residents)</t>
  </si>
  <si>
    <t>Daytime Population</t>
  </si>
  <si>
    <t>Inflow Workers</t>
  </si>
  <si>
    <t>Outflow Workers</t>
  </si>
  <si>
    <t>Net Commuter Flow</t>
  </si>
  <si>
    <t>Daytime Population Increase</t>
  </si>
  <si>
    <t>Calculation Component</t>
  </si>
  <si>
    <t>Resident Population</t>
  </si>
  <si>
    <t>Used equation on right</t>
  </si>
  <si>
    <t>+</t>
  </si>
  <si>
    <t>-</t>
  </si>
  <si>
    <t>=</t>
  </si>
  <si>
    <r>
      <rPr>
        <b/>
        <sz val="11"/>
        <color theme="1"/>
        <rFont val="Aptos Narrow"/>
        <family val="2"/>
        <scheme val="minor"/>
      </rPr>
      <t>Takeaway</t>
    </r>
    <r>
      <rPr>
        <sz val="11"/>
        <color theme="1"/>
        <rFont val="Aptos Narrow"/>
        <family val="2"/>
        <scheme val="minor"/>
      </rPr>
      <t>: Chamblee functions as a net employment center within the Atlanta region. In 2023, approximately 20,097 workers commuted into the city while 9,356 residents commuted elsewhere for work, resulting in a net inflow of 10,741 workers. Using resident population and commuter flow data, Chamblee's daytime population is estimated at approximately 41,636 people, compared with a nighttime residential population of 30,895. This represents a daytime increase of roughly 35 percent, reflecting the city's role as a regional employment and commercial destination.</t>
    </r>
  </si>
  <si>
    <t>Key Findings:</t>
  </si>
  <si>
    <t>Jobs Located in Chamblee</t>
  </si>
  <si>
    <t>Employed Residents</t>
  </si>
  <si>
    <t>Live &amp; Work in Chamblee</t>
  </si>
  <si>
    <t>Net Commuter Gain</t>
  </si>
  <si>
    <t>Finding</t>
  </si>
  <si>
    <t>Supporting Statistic</t>
  </si>
  <si>
    <t>Planning Implication</t>
  </si>
  <si>
    <t>Chamblee is a net employment center</t>
  </si>
  <si>
    <t>20,097 workers commute into the city compared to 9,356 residents commuting out, resulting in a net inflow of 10,741 workers.</t>
  </si>
  <si>
    <t>Chamblee serves as a regional employment destination rather than solely a residential community.</t>
  </si>
  <si>
    <t>Most workers employed in Chamblee live elsewhere</t>
  </si>
  <si>
    <t>Only 502 of 20,599 workers both live and work in Chamblee, meaning approximately 97.6% of workers employed in the city reside outside its boundaries.</t>
  </si>
  <si>
    <t>The city relies heavily on regional commuting networks and transportation infrastructure to support its workforce.</t>
  </si>
  <si>
    <t>Most employed residents work outside Chamblee</t>
  </si>
  <si>
    <t>Only 502 of 9,858 employed residents work within the city, while approximately 95% commute elsewhere for employment.</t>
  </si>
  <si>
    <t>Residents participate in the broader Atlanta labor market while Chamblee attracts workers from surrounding communities.</t>
  </si>
  <si>
    <t>Jobs significantly outnumber resident workers</t>
  </si>
  <si>
    <t>Chamblee contains 20,599 jobs but only 9,858 employed residents, resulting in approximately 2.1 jobs for every employed resident.</t>
  </si>
  <si>
    <t>The city plays an important economic role within the region and supports employment opportunities beyond its resident population.</t>
  </si>
  <si>
    <t>Commuting patterns increase transportation demand</t>
  </si>
  <si>
    <t>The city experiences more than 29,000 daily commuter trips through combined inflow and outflow activity.</t>
  </si>
  <si>
    <t>Roadway capacity, transit accessibility, multimodal connectivity, and commute reliability remain important planning considerations.</t>
  </si>
  <si>
    <t>Daytime activity exceeds residential activity</t>
  </si>
  <si>
    <t>Net commuter inflow adds approximately 10,741 people to the city during the workday.</t>
  </si>
  <si>
    <t>Commercial areas and public infrastructure must accommodate a larger daytime population than the resident population alone.</t>
  </si>
  <si>
    <t>Limited live-work balance</t>
  </si>
  <si>
    <t>Only 502 workers both live and work in Chamblee.</t>
  </si>
  <si>
    <t>Mixed-use development, housing diversity, and employment accessibility may help increase the share of residents who can live closer to their jobs.</t>
  </si>
  <si>
    <t>Regional economic connectivity</t>
  </si>
  <si>
    <t>Strong inflow and outflow patterns connect Chamblee to employment centers throughout the Atlanta metropolitan area.</t>
  </si>
  <si>
    <t>Economic performance and transportation conditions in neighboring jurisdictions can directly influence Chamblee's workforce and business environment.</t>
  </si>
  <si>
    <r>
      <rPr>
        <b/>
        <sz val="11"/>
        <color theme="1"/>
        <rFont val="Aptos Narrow"/>
        <family val="2"/>
        <scheme val="minor"/>
      </rPr>
      <t>Key Takeway:</t>
    </r>
    <r>
      <rPr>
        <sz val="11"/>
        <color theme="1"/>
        <rFont val="Aptos Narrow"/>
        <family val="2"/>
        <scheme val="minor"/>
      </rPr>
      <t xml:space="preserve"> Chamblee functions as a regional employment center within the Atlanta metropolitan area. In 2023, the city contained approximately 20,599 jobs but only 9,858 employed residents. More than 20,000 workers commuted into Chamblee while 9,356 residents commuted elsewhere for work, resulting in a net inflow of 10,741 workers. Only 502 workers both lived and worked within the city, indicating that Chamblee's labor market is highly interconnected with surrounding communities. These commuting patterns highlight the city's role as both a residential community and a significant employment destination within the region.</t>
    </r>
  </si>
  <si>
    <t>Destination Analysis</t>
  </si>
  <si>
    <t>Home Destination Analysis = where Chamblee residents go to work</t>
  </si>
  <si>
    <t>Work Destination Analysis = where workers employed in Chamblee live</t>
  </si>
  <si>
    <t>Location</t>
  </si>
  <si>
    <t>Share of Chamblee Resident Workers</t>
  </si>
  <si>
    <t>Share of Chamblee Employees</t>
  </si>
  <si>
    <t>Key Takeaway</t>
  </si>
  <si>
    <t>Atlanta</t>
  </si>
  <si>
    <t>Atlanta is the dominant employment destination for Chamblee residents and also a major source of workers for Chamblee.</t>
  </si>
  <si>
    <t>More Chamblee residents commute to Sandy Springs than Sandy Springs residents commute into Chamblee.</t>
  </si>
  <si>
    <t>Only 502 workers both live and work in Chamblee, indicating a relatively low live-work balance.</t>
  </si>
  <si>
    <t>Alpharetta</t>
  </si>
  <si>
    <t>N/A</t>
  </si>
  <si>
    <t>Alpharetta serves as an important employment destination for Chamblee residents.</t>
  </si>
  <si>
    <t>Brookhaven sends more workers to Chamblee than Chamblee sends workers to Brookhaven.</t>
  </si>
  <si>
    <t>Strong two-way commuting relationship between Chamblee and Dunwoody.</t>
  </si>
  <si>
    <t>Peachtree Corners</t>
  </si>
  <si>
    <t>Peachtree Corners and Chamblee maintain a notable employment connection.</t>
  </si>
  <si>
    <t>Roswell</t>
  </si>
  <si>
    <t>Roswell contributes approximately twice as many workers to Chamblee as Chamblee sends there.</t>
  </si>
  <si>
    <t>Tucker</t>
  </si>
  <si>
    <t>Tucker has moderate commuting ties with Chamblee in both directions.</t>
  </si>
  <si>
    <t>Doraville is a nearby employment destination for Chamblee residents.</t>
  </si>
  <si>
    <t>Johns Creek</t>
  </si>
  <si>
    <t>Johns Creek is a significant source of workers employed in Chamblee.</t>
  </si>
  <si>
    <t>South Fulton</t>
  </si>
  <si>
    <t>South Fulton contributes workers to Chamblee despite its greater distance.</t>
  </si>
  <si>
    <t>All Other Locations</t>
  </si>
  <si>
    <t>Most commuting activity occurs outside the top identified destinations, reflecting Chamblee's regional workforce reach.</t>
  </si>
  <si>
    <r>
      <t xml:space="preserve">Residents Working There </t>
    </r>
    <r>
      <rPr>
        <b/>
        <sz val="11"/>
        <color rgb="FFC00000"/>
        <rFont val="Aptos Narrow"/>
        <family val="2"/>
        <scheme val="minor"/>
      </rPr>
      <t>(Home Analysis)</t>
    </r>
  </si>
  <si>
    <r>
      <t xml:space="preserve">Workers Living There </t>
    </r>
    <r>
      <rPr>
        <b/>
        <sz val="11"/>
        <color rgb="FFC00000"/>
        <rFont val="Aptos Narrow"/>
        <family val="2"/>
        <scheme val="minor"/>
      </rPr>
      <t>(Work Analysis)</t>
    </r>
  </si>
  <si>
    <t>Supporting Evidence</t>
  </si>
  <si>
    <t>Atlanta is Chamblee's primary commuting partner</t>
  </si>
  <si>
    <t>27.2% of employed Chamblee residents work in Atlanta, while Atlanta also supplies the largest number of workers employed in Chamblee.</t>
  </si>
  <si>
    <t>Chamblee has a low live-work balance</t>
  </si>
  <si>
    <t>Only 502 workers both live and work in Chamblee, representing about 5.1% of employed residents and 2.4% of jobs located in the city.</t>
  </si>
  <si>
    <t>Chamblee participates in a highly regional labor market</t>
  </si>
  <si>
    <t>Over 40% of resident workers and nearly 76% of Chamblee workers are connected to locations outside the top identified destinations.</t>
  </si>
  <si>
    <t>North Fulton and Perimeter Center are major employment destinations</t>
  </si>
  <si>
    <t>Sandy Springs, Alpharetta, Dunwoody, and Peachtree Corners collectively attract a substantial share of Chamblee residents.</t>
  </si>
  <si>
    <t>Chamblee attracts workers from throughout the metro area</t>
  </si>
  <si>
    <t>Workers commute into Chamblee from Atlanta, Brookhaven, Sandy Springs, Johns Creek, Dunwoody, Roswell, Tucker, and South Fulton.</t>
  </si>
  <si>
    <t>Brookhaven is a stronger source of workers than destination for residents</t>
  </si>
  <si>
    <t>462 Brookhaven residents work in Chamblee compared with 345 Chamblee residents working in Brookhaven.</t>
  </si>
  <si>
    <t>Employment connections are strongest along the I-285/GA-400 corridor</t>
  </si>
  <si>
    <t>Sandy Springs, Dunwoody, Alpharetta, Roswell, Johns Creek, and Peachtree Corners all appear among the top commuting relationships.</t>
  </si>
  <si>
    <t>Distance Direction Analysis</t>
  </si>
  <si>
    <t>Home Analysis (Where Chamblee Residents Work)</t>
  </si>
  <si>
    <t>Work Analysis (Where Chamblee Employees Live)</t>
  </si>
  <si>
    <t>Total Workers</t>
  </si>
  <si>
    <t>Chamblee attracts more than twice as many workers as it has employed residents.</t>
  </si>
  <si>
    <t>Less than 10 Miles</t>
  </si>
  <si>
    <t>5,815 (59.0%)</t>
  </si>
  <si>
    <t>6,127 (29.7%)</t>
  </si>
  <si>
    <t>Most Chamblee residents work relatively close to home, but fewer Chamblee workers live nearby.</t>
  </si>
  <si>
    <t>10-24 Miles</t>
  </si>
  <si>
    <t>3,052 (31.0%)</t>
  </si>
  <si>
    <t>8,854 (43.0%)</t>
  </si>
  <si>
    <t>The largest share of Chamblee's workforce lives 10–24 miles away.</t>
  </si>
  <si>
    <t>25-50 Miles</t>
  </si>
  <si>
    <t>406 (4.1%)</t>
  </si>
  <si>
    <t>3,359 (16.3%)</t>
  </si>
  <si>
    <t>Chamblee draws workers from a much broader regional labor shed than its residents commute.</t>
  </si>
  <si>
    <t>Greater than 50 Miles</t>
  </si>
  <si>
    <t>585 (5.9%)</t>
  </si>
  <si>
    <t>2,259 (11.0%)</t>
  </si>
  <si>
    <t>Over 2,200 workers commute more than 50 miles to jobs in Chamblee.</t>
  </si>
  <si>
    <t>Average Pattern</t>
  </si>
  <si>
    <t>90.0% work within 24 miles</t>
  </si>
  <si>
    <t>72.7% live within 24 miles</t>
  </si>
  <si>
    <t>Residents generally commute shorter distances than incoming workers.</t>
  </si>
  <si>
    <t>where people commute, but how far and in what direction they travel.</t>
  </si>
  <si>
    <t>Distance Analysis Comparison</t>
  </si>
  <si>
    <t>Directional Comparison</t>
  </si>
  <si>
    <t>Direction</t>
  </si>
  <si>
    <t>Home Analysis (Residents Working There)</t>
  </si>
  <si>
    <t>Work Analysis (Workers Living There)</t>
  </si>
  <si>
    <t>North</t>
  </si>
  <si>
    <t>More workers come from north of Chamblee than residents travel north for work.</t>
  </si>
  <si>
    <t>Northeast</t>
  </si>
  <si>
    <t>The northeast corridor is a major source of Chamblee's workforce.</t>
  </si>
  <si>
    <t>East</t>
  </si>
  <si>
    <t>The east is the largest directional source of workers employed in Chamblee.</t>
  </si>
  <si>
    <t>Southeast</t>
  </si>
  <si>
    <t>Strong employment connections exist with southeastern portions of the metro area.</t>
  </si>
  <si>
    <t>South</t>
  </si>
  <si>
    <t>More workers commute into Chamblee from the south than residents commute southward.</t>
  </si>
  <si>
    <t>Southwest</t>
  </si>
  <si>
    <t>Southwest is one of the strongest commuting relationships in both directions.</t>
  </si>
  <si>
    <t>West</t>
  </si>
  <si>
    <t>Chamblee maintains significant two-way commuting ties with western metro communities.</t>
  </si>
  <si>
    <t>Northwest</t>
  </si>
  <si>
    <t>Northwest communities contribute substantially more workers than they receive from Chamblee residents.</t>
  </si>
  <si>
    <t>Chamblee functions as a regional employment center</t>
  </si>
  <si>
    <t>20,599 workers are employed in Chamblee compared with 9,858 employed residents.</t>
  </si>
  <si>
    <t>The city serves a labor market much larger than its resident population.</t>
  </si>
  <si>
    <t>Most residents work close to home</t>
  </si>
  <si>
    <t>Approximately 90% of employed residents work within 24 miles of Chamblee.</t>
  </si>
  <si>
    <t>Access to nearby job centers is an important component of resident mobility.</t>
  </si>
  <si>
    <t>Workers travel farther to reach Chamblee</t>
  </si>
  <si>
    <t>Approximately 27% of workers employed in Chamblee travel more than 24 miles.</t>
  </si>
  <si>
    <t>The city draws labor from throughout the Atlanta metropolitan area.</t>
  </si>
  <si>
    <t>The strongest commuting relationship is toward the southwest</t>
  </si>
  <si>
    <t>2,662 residents work southwest of Chamblee and 2,771 workers travel from the southwest to Chamblee.</t>
  </si>
  <si>
    <t>The southwest corridor represents a key regional economic connection.</t>
  </si>
  <si>
    <t>The eastern and northeastern sectors are major labor sources</t>
  </si>
  <si>
    <t>3,356 workers come from the east and 3,205 come from the northeast.</t>
  </si>
  <si>
    <t>Employment growth in Chamblee is supported by workers living well beyond adjacent communities.</t>
  </si>
  <si>
    <t>Long-distance commuting is significant</t>
  </si>
  <si>
    <t>More than 2,200 workers travel over 50 miles to jobs in Chamblee.</t>
  </si>
  <si>
    <t>The city's labor market extends beyond the immediate metro area.</t>
  </si>
  <si>
    <t>Incoming commuting patterns are more dispersed than outgoing patterns</t>
  </si>
  <si>
    <t>Resident workers are concentrated within 24 miles, while workers employed in Chamblee are distributed across all distance bands.</t>
  </si>
  <si>
    <t>Chamblee attracts workers from a broader geography than residents use for employment.</t>
  </si>
  <si>
    <r>
      <rPr>
        <b/>
        <sz val="11"/>
        <color theme="1"/>
        <rFont val="Aptos Narrow"/>
        <family val="2"/>
        <scheme val="minor"/>
      </rPr>
      <t>&gt;&gt; Takeaway</t>
    </r>
    <r>
      <rPr>
        <sz val="11"/>
        <color theme="1"/>
        <rFont val="Aptos Narrow"/>
        <family val="2"/>
        <scheme val="minor"/>
      </rPr>
      <t>: The distance-direction analysis reinforces Chamblee's role as a regional employment hub. While most employed residents work within 24 miles of the city, workers employed in Chamblee are drawn from a much larger geographic area. The strongest commuting relationships occur along the southwest, east, northeast, and south corridors, indicating that Chamblee's workforce is highly connected to the broader Atlanta metropolitan region. These patterns suggest continued importance of regional transportation infrastructure, commute reliability, and multimodal access in supporting the city's economic activity.</t>
    </r>
  </si>
  <si>
    <t>Cities use ARC</t>
  </si>
  <si>
    <t>Free/Reduced Lunch</t>
  </si>
  <si>
    <t>SchoolDigger Rating (2025)</t>
  </si>
  <si>
    <t>Students Meeting Standards (2024–25)</t>
  </si>
  <si>
    <t>Georgia State Rank (2025)</t>
  </si>
  <si>
    <t>PK–5</t>
  </si>
  <si>
    <t>1,232 of 1,238</t>
  </si>
  <si>
    <t>702 of 1,238</t>
  </si>
  <si>
    <t>Henderson Middle</t>
  </si>
  <si>
    <t>6–8</t>
  </si>
  <si>
    <t>Chamblee Middle</t>
  </si>
  <si>
    <t>Chamblee High</t>
  </si>
  <si>
    <t>9–12</t>
  </si>
  <si>
    <t>Bachelor's Degree or Higher</t>
  </si>
  <si>
    <t>MHI</t>
  </si>
  <si>
    <r>
      <t xml:space="preserve">Total Population (change 2020-2035)  </t>
    </r>
    <r>
      <rPr>
        <b/>
        <sz val="11"/>
        <color theme="1"/>
        <rFont val="Roboto"/>
      </rPr>
      <t>percent</t>
    </r>
    <r>
      <rPr>
        <sz val="11"/>
        <color theme="1"/>
        <rFont val="Roboto"/>
      </rPr>
      <t xml:space="preserve"> growth forecast</t>
    </r>
  </si>
  <si>
    <t>Chamblee, DeKalb, Atlanta MSA, Georgia</t>
  </si>
  <si>
    <r>
      <t xml:space="preserve">Total Population (change 2020-2035) comp cities comparison </t>
    </r>
    <r>
      <rPr>
        <b/>
        <sz val="11"/>
        <color theme="1"/>
        <rFont val="Roboto"/>
      </rPr>
      <t>percent</t>
    </r>
    <r>
      <rPr>
        <sz val="11"/>
        <color theme="1"/>
        <rFont val="Roboto"/>
      </rPr>
      <t xml:space="preserve"> growth forecast</t>
    </r>
  </si>
  <si>
    <t>Chamblee, Brookhaven, Doraville, Sandy Springs, and Dunwoody</t>
  </si>
  <si>
    <t xml:space="preserve">Population </t>
  </si>
  <si>
    <t>Source: ARC</t>
  </si>
  <si>
    <t>Geography</t>
  </si>
  <si>
    <t>2015 ACS population</t>
  </si>
  <si>
    <t>2026 forecast</t>
  </si>
  <si>
    <t>2035 forecast</t>
  </si>
  <si>
    <t>2015–2026 change</t>
  </si>
  <si>
    <t>2026–2035 change</t>
  </si>
  <si>
    <t>2015 ACS 5-year</t>
  </si>
  <si>
    <t>ARC-interpolated</t>
  </si>
  <si>
    <t>Calculated</t>
  </si>
  <si>
    <t>Note: Atlanta Region: ARC 21-County Forecast Area</t>
  </si>
  <si>
    <t>Table 1. Chamblee Total Population, Actual and Forecast</t>
  </si>
  <si>
    <t>2015 Population</t>
  </si>
  <si>
    <t>2020 Population</t>
  </si>
  <si>
    <t>2026 Forecast</t>
  </si>
  <si>
    <t>2035 Forecast</t>
  </si>
  <si>
    <t>Numeric Change 2020–2035</t>
  </si>
  <si>
    <t>Percent Growth 2020–2035</t>
  </si>
  <si>
    <t>Source / Method</t>
  </si>
  <si>
    <t>2015 ACS-based historical estimate</t>
  </si>
  <si>
    <t>2020 Census</t>
  </si>
  <si>
    <t>2020 city population × interpolated DeKalb ARC factor</t>
  </si>
  <si>
    <t>Methodology note</t>
  </si>
  <si>
    <t>ARC publishes 2020, 2030, and 2040 tract/county forecasts. The 2026 and 2035 values were linearly interpolated.</t>
  </si>
  <si>
    <t>City forecast note</t>
  </si>
  <si>
    <t>ARC does not publish a ready-made municipal total in the downloaded workbook. Chamblee's 2020 Census population was scaled using DeKalb County's ARC forecast growth factor.</t>
  </si>
  <si>
    <t>ARC source</t>
  </si>
  <si>
    <t>https://atlantaregional.org/what-we-do/research-and-innovation/population-employment-forecasts/</t>
  </si>
  <si>
    <t>ACS source</t>
  </si>
  <si>
    <t>https://www.census.gov/data/developers/data-sets/acs-5year.html</t>
  </si>
  <si>
    <t>Georgia projections</t>
  </si>
  <si>
    <t>https://opb.georgia.gov/census-data/population-projections</t>
  </si>
  <si>
    <t>Table 2. Population Growth Comparison, Chamblee and Larger Geographies</t>
  </si>
  <si>
    <t>Forecast Source</t>
  </si>
  <si>
    <t>ARC-derived</t>
  </si>
  <si>
    <t>Atlanta Region (ARC 21-county)</t>
  </si>
  <si>
    <t>Georgia OPB</t>
  </si>
  <si>
    <t>Geography note</t>
  </si>
  <si>
    <t>The Atlanta comparison uses ARC's 21-county forecast region, not the Census-defined Atlanta MSA.</t>
  </si>
  <si>
    <t>Interpolation</t>
  </si>
  <si>
    <t>2026 = 60% of the change from 2020 to 2030. 2035 = midpoint between 2030 and 2040.</t>
  </si>
  <si>
    <t>Interpretation caution</t>
  </si>
  <si>
    <t>The Chamblee municipal forecast is a proportional allocation of DeKalb County growth, not an independently modeled ARC city forecast.</t>
  </si>
  <si>
    <t>Table 3. Population Forecast Comparison: Chamblee and Peer Cities</t>
  </si>
  <si>
    <t>City</t>
  </si>
  <si>
    <t>County</t>
  </si>
  <si>
    <t>Forecast Method</t>
  </si>
  <si>
    <t>DeKalb</t>
  </si>
  <si>
    <t>2020 city count × DeKalb ARC growth factor</t>
  </si>
  <si>
    <t>Fulton</t>
  </si>
  <si>
    <t>2020 city count × Fulton ARC growth factor</t>
  </si>
  <si>
    <t>Important limitation</t>
  </si>
  <si>
    <t>Cities in the same county receive the same county-level forecast growth rate. These values are suitable as a consistent planning benchmark, but they should not be described as official ARC municipal forecasts.</t>
  </si>
  <si>
    <t>Boundary caution</t>
  </si>
  <si>
    <t>Chamblee and Doraville experienced annexations, so 2015-to-2020 changes partly reflect boundary changes rather than only natural growth or migration.</t>
  </si>
  <si>
    <t>Recommended chart</t>
  </si>
  <si>
    <t>Clustered columns for 2015, 2026, and 2035, plus a separate percent-growth bar chart for 2020–2035.</t>
  </si>
  <si>
    <t>Source Data and Forecast Calculations</t>
  </si>
  <si>
    <t>2026 Interpolated</t>
  </si>
  <si>
    <t>2035 Interpolated</t>
  </si>
  <si>
    <t>Fulton County</t>
  </si>
  <si>
    <t>ARC 21-County Region</t>
  </si>
  <si>
    <t>Formula</t>
  </si>
  <si>
    <t>2020 + 0.6 × (2030−2020)</t>
  </si>
  <si>
    <t>2030 + 0.5 × (2040−2030)</t>
  </si>
  <si>
    <t>Source</t>
  </si>
  <si>
    <t>URL</t>
  </si>
  <si>
    <t>ARC Series 17 forecast workbook</t>
  </si>
  <si>
    <t>https://atlantaregional.org/wp-content/uploads/s17-arc-forecasts.xlsx</t>
  </si>
  <si>
    <t>ARC forecast overview</t>
  </si>
  <si>
    <t>Georgia OPB projections</t>
  </si>
  <si>
    <t>ACS 5-year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</si>
</sst>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_(&quot;$&quot;* #,##0_);_(&quot;$&quot;* \(#,##0\);_(&quot;$&quot;* &quot;-&quot;?_);_(@_)"/>
    <numFmt numFmtId="166" formatCode="_(* #,##0_);_(* \(#,##0\);_(* &quot;-&quot;??_);_(@_)"/>
    <numFmt numFmtId="167" formatCode="0.0%"/>
    <numFmt numFmtId="168" formatCode="#,##0.0%"/>
    <numFmt numFmtId="169" formatCode="#,##0%"/>
  </numFmts>
  <fonts count="28">
    <font>
      <sz val="11"/>
      <color theme="1"/>
      <name val="Aptos Narrow"/>
      <family val="2"/>
      <scheme val="minor"/>
    </font>
    <font>
      <sz val="11"/>
      <color theme="1"/>
      <name val="Aptos Narrow"/>
      <family val="2"/>
      <scheme val="minor"/>
    </font>
    <font>
      <b/>
      <sz val="11"/>
      <color theme="1"/>
      <name val="Aptos Narrow"/>
      <family val="2"/>
      <scheme val="minor"/>
    </font>
    <font>
      <b/>
      <sz val="12"/>
      <name val="Aptos Narrow"/>
      <family val="2"/>
      <scheme val="minor"/>
    </font>
    <font>
      <sz val="12"/>
      <color theme="1"/>
      <name val="Aptos Narrow"/>
      <family val="2"/>
      <scheme val="minor"/>
    </font>
    <font>
      <b/>
      <sz val="9"/>
      <color theme="4" tint="-0.499984740745262"/>
      <name val="Aptos Narrow"/>
      <family val="2"/>
      <scheme val="minor"/>
    </font>
    <font>
      <sz val="9"/>
      <color theme="4" tint="-0.499984740745262"/>
      <name val="Aptos Narrow"/>
      <family val="2"/>
      <scheme val="minor"/>
    </font>
    <font>
      <i/>
      <sz val="11"/>
      <color theme="1"/>
      <name val="Aptos Narrow"/>
      <family val="2"/>
      <scheme val="minor"/>
    </font>
    <font>
      <b/>
      <sz val="11"/>
      <color theme="8"/>
      <name val="Aptos Narrow"/>
      <family val="2"/>
      <scheme val="minor"/>
    </font>
    <font>
      <b/>
      <i/>
      <sz val="9"/>
      <color theme="8"/>
      <name val="Aptos Narrow"/>
      <family val="2"/>
      <scheme val="minor"/>
    </font>
    <font>
      <sz val="11"/>
      <name val="Aptos Narrow"/>
      <family val="2"/>
      <scheme val="minor"/>
    </font>
    <font>
      <b/>
      <sz val="11"/>
      <name val="Aptos Narrow"/>
      <family val="2"/>
      <scheme val="minor"/>
    </font>
    <font>
      <sz val="8"/>
      <color theme="4"/>
      <name val="Aptos Narrow"/>
      <family val="2"/>
      <scheme val="minor"/>
    </font>
    <font>
      <b/>
      <sz val="11"/>
      <color theme="0"/>
      <name val="Aptos Narrow"/>
      <family val="2"/>
      <scheme val="minor"/>
    </font>
    <font>
      <sz val="11"/>
      <color theme="1"/>
      <name val="Roboto"/>
    </font>
    <font>
      <b/>
      <sz val="11"/>
      <color theme="1"/>
      <name val="Roboto"/>
    </font>
    <font>
      <b/>
      <sz val="11"/>
      <color rgb="FFFF0000"/>
      <name val="Aptos Narrow"/>
      <family val="2"/>
      <scheme val="minor"/>
    </font>
    <font>
      <b/>
      <i/>
      <sz val="11"/>
      <color theme="1"/>
      <name val="Aptos Narrow"/>
      <family val="2"/>
      <scheme val="minor"/>
    </font>
    <font>
      <b/>
      <i/>
      <u/>
      <sz val="12"/>
      <color theme="1"/>
      <name val="Aptos Display"/>
      <family val="2"/>
      <scheme val="major"/>
    </font>
    <font>
      <b/>
      <i/>
      <sz val="12"/>
      <color theme="1"/>
      <name val="Aptos Display"/>
      <family val="2"/>
      <scheme val="major"/>
    </font>
    <font>
      <sz val="11"/>
      <color theme="0"/>
      <name val="Aptos Narrow"/>
      <family val="2"/>
      <scheme val="minor"/>
    </font>
    <font>
      <b/>
      <i/>
      <sz val="11"/>
      <color theme="1"/>
      <name val="Roboto"/>
    </font>
    <font>
      <b/>
      <sz val="11"/>
      <color rgb="FFC00000"/>
      <name val="Aptos Narrow"/>
      <family val="2"/>
      <scheme val="minor"/>
    </font>
    <font>
      <sz val="11"/>
      <name val="Carlito"/>
    </font>
    <font>
      <b/>
      <sz val="14"/>
      <color rgb="FFFFFFFF"/>
      <name val="Carlito"/>
    </font>
    <font>
      <b/>
      <sz val="11"/>
      <color rgb="FF000000"/>
      <name val="Carlito"/>
    </font>
    <font>
      <i/>
      <sz val="9"/>
      <name val="Carlito"/>
    </font>
    <font>
      <b/>
      <sz val="11"/>
      <name val="Carlito"/>
    </font>
  </fonts>
  <fills count="19">
    <fill>
      <patternFill patternType="none"/>
    </fill>
    <fill>
      <patternFill patternType="gray125"/>
    </fill>
    <fill>
      <patternFill patternType="solid">
        <fgColor theme="6" tint="0.79998168889431442"/>
        <bgColor indexed="64"/>
      </patternFill>
    </fill>
    <fill>
      <patternFill patternType="solid">
        <fgColor rgb="FFD7ECCC"/>
        <bgColor indexed="64"/>
      </patternFill>
    </fill>
    <fill>
      <patternFill patternType="solid">
        <fgColor theme="0"/>
        <bgColor indexed="64"/>
      </patternFill>
    </fill>
    <fill>
      <patternFill patternType="solid">
        <fgColor rgb="FFE2EFDA"/>
        <bgColor indexed="64"/>
      </patternFill>
    </fill>
    <fill>
      <patternFill patternType="solid">
        <fgColor rgb="FFFFF4CC"/>
        <bgColor indexed="64"/>
      </patternFill>
    </fill>
    <fill>
      <patternFill patternType="solid">
        <fgColor theme="8" tint="0.79998168889431442"/>
        <bgColor indexed="64"/>
      </patternFill>
    </fill>
    <fill>
      <patternFill patternType="solid">
        <fgColor rgb="FFB3A369"/>
        <bgColor indexed="64"/>
      </patternFill>
    </fill>
    <fill>
      <patternFill patternType="solid">
        <fgColor rgb="FF003057"/>
        <bgColor indexed="64"/>
      </patternFill>
    </fill>
    <fill>
      <patternFill patternType="solid">
        <fgColor rgb="FFEAAA00"/>
        <bgColor indexed="64"/>
      </patternFill>
    </fill>
    <fill>
      <patternFill patternType="solid">
        <fgColor theme="1" tint="0.499984740745262"/>
        <bgColor indexed="64"/>
      </patternFill>
    </fill>
    <fill>
      <patternFill patternType="solid">
        <fgColor rgb="FFFFB7B7"/>
        <bgColor indexed="64"/>
      </patternFill>
    </fill>
    <fill>
      <patternFill patternType="solid">
        <fgColor rgb="FFF2F2F2"/>
      </patternFill>
    </fill>
    <fill>
      <patternFill patternType="solid">
        <fgColor theme="9" tint="0.79998168889431442"/>
        <bgColor indexed="64"/>
      </patternFill>
    </fill>
    <fill>
      <patternFill patternType="solid">
        <fgColor rgb="FFF1EAC1"/>
        <bgColor indexed="64"/>
      </patternFill>
    </fill>
    <fill>
      <patternFill patternType="solid">
        <fgColor rgb="FF1F4E78"/>
      </patternFill>
    </fill>
    <fill>
      <patternFill patternType="solid">
        <fgColor rgb="FFD9EAF7"/>
      </patternFill>
    </fill>
    <fill>
      <patternFill patternType="solid">
        <fgColor rgb="FFE2F0D9"/>
      </patternFill>
    </fill>
  </fills>
  <borders count="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thin">
        <color theme="7"/>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00000"/>
      </left>
      <right style="medium">
        <color rgb="FFC00000"/>
      </right>
      <top style="medium">
        <color rgb="FFC00000"/>
      </top>
      <bottom style="thick">
        <color rgb="FFC00000"/>
      </bottom>
      <diagonal/>
    </border>
    <border>
      <left style="medium">
        <color rgb="FFC00000"/>
      </left>
      <right style="medium">
        <color rgb="FFC00000"/>
      </right>
      <top/>
      <bottom/>
      <diagonal/>
    </border>
    <border>
      <left style="medium">
        <color rgb="FFC00000"/>
      </left>
      <right style="medium">
        <color rgb="FFC00000"/>
      </right>
      <top/>
      <bottom style="medium">
        <color rgb="FFC00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bottom style="thin">
        <color theme="1"/>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3" fillId="0" borderId="0"/>
  </cellStyleXfs>
  <cellXfs count="280">
    <xf numFmtId="0" fontId="0" fillId="0" borderId="0" xfId="0"/>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0" fillId="0" borderId="0" xfId="0" applyAlignment="1">
      <alignment vertical="center"/>
    </xf>
    <xf numFmtId="165" fontId="4" fillId="0" borderId="3" xfId="0" applyNumberFormat="1" applyFont="1" applyBorder="1" applyAlignment="1">
      <alignment horizontal="left" vertical="center"/>
    </xf>
    <xf numFmtId="164" fontId="4" fillId="0" borderId="3" xfId="0" applyNumberFormat="1" applyFont="1" applyBorder="1" applyAlignment="1">
      <alignment horizontal="left" vertical="center"/>
    </xf>
    <xf numFmtId="165" fontId="4" fillId="0" borderId="4" xfId="0" applyNumberFormat="1" applyFont="1" applyBorder="1" applyAlignment="1">
      <alignment horizontal="left" vertical="center"/>
    </xf>
    <xf numFmtId="165" fontId="4" fillId="0" borderId="0" xfId="0" applyNumberFormat="1" applyFont="1" applyAlignment="1">
      <alignment horizontal="left" vertical="center"/>
    </xf>
    <xf numFmtId="164" fontId="4" fillId="0" borderId="0" xfId="0" applyNumberFormat="1" applyFont="1" applyAlignment="1">
      <alignment horizontal="left" vertical="center"/>
    </xf>
    <xf numFmtId="165" fontId="4" fillId="0" borderId="6" xfId="0" applyNumberFormat="1" applyFont="1" applyBorder="1" applyAlignment="1">
      <alignment horizontal="left" vertical="center"/>
    </xf>
    <xf numFmtId="165" fontId="4" fillId="0" borderId="8" xfId="0" applyNumberFormat="1" applyFont="1" applyBorder="1" applyAlignment="1">
      <alignment horizontal="left" vertical="center"/>
    </xf>
    <xf numFmtId="164" fontId="4" fillId="0" borderId="8" xfId="0" applyNumberFormat="1" applyFont="1" applyBorder="1" applyAlignment="1">
      <alignment horizontal="left" vertical="center"/>
    </xf>
    <xf numFmtId="165" fontId="4" fillId="0" borderId="9" xfId="0" applyNumberFormat="1" applyFont="1" applyBorder="1" applyAlignment="1">
      <alignment horizontal="left" vertical="center"/>
    </xf>
    <xf numFmtId="0" fontId="0" fillId="0" borderId="0" xfId="0" applyAlignment="1">
      <alignment horizontal="center" vertical="center"/>
    </xf>
    <xf numFmtId="0" fontId="5" fillId="0" borderId="0" xfId="0" applyFont="1" applyAlignment="1">
      <alignment horizontal="center" vertical="center" wrapText="1"/>
    </xf>
    <xf numFmtId="165" fontId="6" fillId="0" borderId="0" xfId="0" applyNumberFormat="1" applyFont="1" applyAlignment="1">
      <alignment horizontal="left" vertical="center"/>
    </xf>
    <xf numFmtId="164" fontId="6" fillId="0" borderId="0" xfId="0" applyNumberFormat="1" applyFont="1" applyAlignment="1">
      <alignment horizontal="left" vertical="center"/>
    </xf>
    <xf numFmtId="164" fontId="6" fillId="0" borderId="0" xfId="2" applyNumberFormat="1" applyFont="1" applyFill="1" applyBorder="1" applyAlignment="1">
      <alignment horizontal="left" vertical="center"/>
    </xf>
    <xf numFmtId="9" fontId="2" fillId="0" borderId="0" xfId="0" applyNumberFormat="1" applyFont="1" applyAlignment="1">
      <alignment horizontal="center" vertical="center"/>
    </xf>
    <xf numFmtId="164" fontId="4" fillId="0" borderId="0" xfId="2" applyNumberFormat="1" applyFont="1" applyFill="1" applyBorder="1" applyAlignment="1">
      <alignment horizontal="left" vertical="center"/>
    </xf>
    <xf numFmtId="164" fontId="4" fillId="0" borderId="3" xfId="2" applyNumberFormat="1" applyFont="1" applyFill="1" applyBorder="1" applyAlignment="1">
      <alignment horizontal="left" vertical="center"/>
    </xf>
    <xf numFmtId="164" fontId="4" fillId="0" borderId="8" xfId="2" applyNumberFormat="1" applyFont="1" applyFill="1" applyBorder="1" applyAlignment="1">
      <alignment horizontal="left" vertical="center"/>
    </xf>
    <xf numFmtId="0" fontId="0" fillId="0" borderId="1" xfId="0" applyBorder="1"/>
    <xf numFmtId="9" fontId="0" fillId="0" borderId="0" xfId="3" applyFont="1" applyAlignment="1">
      <alignment vertical="center"/>
    </xf>
    <xf numFmtId="9" fontId="8" fillId="0" borderId="0" xfId="0" applyNumberFormat="1" applyFont="1" applyAlignment="1">
      <alignment vertical="center"/>
    </xf>
    <xf numFmtId="0" fontId="0" fillId="0" borderId="2" xfId="0" applyBorder="1" applyAlignment="1">
      <alignment vertical="center"/>
    </xf>
    <xf numFmtId="0" fontId="0" fillId="0" borderId="0" xfId="0" applyAlignment="1">
      <alignment horizontal="center"/>
    </xf>
    <xf numFmtId="0" fontId="0" fillId="0" borderId="6" xfId="0" applyBorder="1" applyAlignment="1">
      <alignment horizontal="center"/>
    </xf>
    <xf numFmtId="3" fontId="0" fillId="0" borderId="6" xfId="0" applyNumberFormat="1" applyBorder="1"/>
    <xf numFmtId="0" fontId="0" fillId="0" borderId="6" xfId="0" applyBorder="1"/>
    <xf numFmtId="3" fontId="0" fillId="0" borderId="10" xfId="0" applyNumberFormat="1" applyBorder="1"/>
    <xf numFmtId="3" fontId="0" fillId="0" borderId="0" xfId="0" applyNumberFormat="1"/>
    <xf numFmtId="0" fontId="0" fillId="0" borderId="6" xfId="0" applyBorder="1" applyAlignment="1">
      <alignment vertical="center"/>
    </xf>
    <xf numFmtId="0" fontId="0" fillId="0" borderId="8" xfId="0" applyBorder="1"/>
    <xf numFmtId="3" fontId="0" fillId="0" borderId="8" xfId="0" applyNumberFormat="1" applyBorder="1"/>
    <xf numFmtId="3" fontId="0" fillId="0" borderId="9" xfId="0" applyNumberFormat="1" applyBorder="1"/>
    <xf numFmtId="0" fontId="0" fillId="0" borderId="0" xfId="0" applyAlignment="1">
      <alignment horizontal="center" vertical="center" wrapText="1"/>
    </xf>
    <xf numFmtId="9" fontId="0" fillId="0" borderId="0" xfId="3" applyFont="1" applyAlignment="1">
      <alignment horizontal="center" vertical="center"/>
    </xf>
    <xf numFmtId="9" fontId="0" fillId="0" borderId="2" xfId="3" applyFont="1" applyBorder="1" applyAlignment="1">
      <alignment horizontal="center" vertical="center"/>
    </xf>
    <xf numFmtId="9" fontId="0" fillId="0" borderId="4" xfId="3" applyFont="1" applyBorder="1" applyAlignment="1">
      <alignment horizontal="center" vertical="center"/>
    </xf>
    <xf numFmtId="9" fontId="0" fillId="0" borderId="7" xfId="3" applyFont="1" applyBorder="1" applyAlignment="1">
      <alignment horizontal="center" vertical="center"/>
    </xf>
    <xf numFmtId="9" fontId="0" fillId="0" borderId="9" xfId="3" applyFont="1" applyBorder="1" applyAlignment="1">
      <alignment horizontal="center" vertical="center"/>
    </xf>
    <xf numFmtId="0" fontId="0" fillId="3" borderId="0" xfId="0" applyFill="1"/>
    <xf numFmtId="0" fontId="0" fillId="3" borderId="1" xfId="0" applyFill="1" applyBorder="1"/>
    <xf numFmtId="0" fontId="0" fillId="0" borderId="0" xfId="0" applyAlignment="1">
      <alignment vertical="center" wrapText="1"/>
    </xf>
    <xf numFmtId="166" fontId="0" fillId="0" borderId="0" xfId="1" applyNumberFormat="1" applyFont="1" applyBorder="1" applyAlignment="1">
      <alignment vertical="center"/>
    </xf>
    <xf numFmtId="0" fontId="7" fillId="0" borderId="0" xfId="0" applyFont="1" applyAlignment="1">
      <alignment vertical="center" wrapText="1"/>
    </xf>
    <xf numFmtId="168" fontId="0" fillId="0" borderId="0" xfId="0" applyNumberFormat="1"/>
    <xf numFmtId="0" fontId="7" fillId="0" borderId="0" xfId="0" applyFont="1" applyAlignment="1">
      <alignment horizontal="center" vertical="center" wrapText="1"/>
    </xf>
    <xf numFmtId="0" fontId="0" fillId="0" borderId="3" xfId="0" applyBorder="1" applyAlignment="1">
      <alignment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167" fontId="0" fillId="0" borderId="0" xfId="3" applyNumberFormat="1" applyFont="1" applyBorder="1" applyAlignment="1">
      <alignment vertical="center"/>
    </xf>
    <xf numFmtId="167" fontId="0" fillId="0" borderId="6" xfId="3" applyNumberFormat="1" applyFont="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3" xfId="0" applyBorder="1"/>
    <xf numFmtId="3" fontId="0" fillId="0" borderId="3" xfId="0" applyNumberFormat="1" applyBorder="1"/>
    <xf numFmtId="168" fontId="0" fillId="0" borderId="3" xfId="0" applyNumberFormat="1" applyBorder="1"/>
    <xf numFmtId="168" fontId="0" fillId="0" borderId="4" xfId="0" applyNumberFormat="1" applyBorder="1"/>
    <xf numFmtId="168" fontId="0" fillId="0" borderId="6" xfId="0" applyNumberFormat="1" applyBorder="1"/>
    <xf numFmtId="168" fontId="0" fillId="0" borderId="8" xfId="0" applyNumberFormat="1" applyBorder="1"/>
    <xf numFmtId="168" fontId="0" fillId="0" borderId="9" xfId="0" applyNumberFormat="1" applyBorder="1"/>
    <xf numFmtId="166" fontId="9" fillId="0" borderId="0" xfId="1" applyNumberFormat="1" applyFont="1" applyFill="1" applyBorder="1"/>
    <xf numFmtId="168" fontId="9" fillId="0" borderId="0" xfId="0" applyNumberFormat="1" applyFont="1"/>
    <xf numFmtId="164" fontId="0" fillId="0" borderId="3" xfId="2" applyNumberFormat="1" applyFont="1" applyBorder="1" applyAlignment="1">
      <alignment horizontal="center" vertical="center"/>
    </xf>
    <xf numFmtId="164" fontId="0" fillId="0" borderId="4" xfId="2" applyNumberFormat="1" applyFont="1" applyBorder="1" applyAlignment="1">
      <alignment horizontal="center" vertical="center"/>
    </xf>
    <xf numFmtId="164" fontId="0" fillId="0" borderId="0" xfId="2" applyNumberFormat="1" applyFont="1" applyBorder="1" applyAlignment="1">
      <alignment horizontal="center"/>
    </xf>
    <xf numFmtId="164" fontId="0" fillId="0" borderId="6" xfId="2" applyNumberFormat="1" applyFont="1" applyBorder="1" applyAlignment="1">
      <alignment horizontal="center"/>
    </xf>
    <xf numFmtId="164" fontId="0" fillId="0" borderId="8" xfId="2" applyNumberFormat="1" applyFont="1" applyBorder="1" applyAlignment="1">
      <alignment horizontal="center"/>
    </xf>
    <xf numFmtId="164" fontId="0" fillId="0" borderId="9" xfId="2" applyNumberFormat="1" applyFont="1" applyBorder="1" applyAlignment="1">
      <alignment horizontal="center"/>
    </xf>
    <xf numFmtId="3" fontId="0" fillId="3" borderId="0" xfId="0" applyNumberFormat="1" applyFill="1" applyAlignment="1">
      <alignment vertical="center"/>
    </xf>
    <xf numFmtId="9" fontId="0" fillId="3" borderId="0" xfId="3" applyFont="1" applyFill="1" applyAlignment="1">
      <alignment vertical="center"/>
    </xf>
    <xf numFmtId="9" fontId="2" fillId="0" borderId="6" xfId="0" applyNumberFormat="1" applyFont="1" applyBorder="1" applyAlignment="1">
      <alignment horizontal="center" vertical="center"/>
    </xf>
    <xf numFmtId="165" fontId="6" fillId="0" borderId="6" xfId="0" applyNumberFormat="1" applyFont="1" applyBorder="1" applyAlignment="1">
      <alignment horizontal="left" vertical="center"/>
    </xf>
    <xf numFmtId="0" fontId="5" fillId="0" borderId="8" xfId="0" applyFont="1" applyBorder="1" applyAlignment="1">
      <alignment horizontal="center" vertical="center" wrapText="1"/>
    </xf>
    <xf numFmtId="164" fontId="6" fillId="0" borderId="8" xfId="2" applyNumberFormat="1" applyFont="1" applyFill="1" applyBorder="1" applyAlignment="1">
      <alignment horizontal="left" vertical="center"/>
    </xf>
    <xf numFmtId="165" fontId="6" fillId="0" borderId="8" xfId="0" applyNumberFormat="1" applyFont="1" applyBorder="1" applyAlignment="1">
      <alignment horizontal="left" vertical="center"/>
    </xf>
    <xf numFmtId="164" fontId="6" fillId="0" borderId="8" xfId="0" applyNumberFormat="1" applyFont="1" applyBorder="1" applyAlignment="1">
      <alignment horizontal="left" vertical="center"/>
    </xf>
    <xf numFmtId="165" fontId="6" fillId="0" borderId="9" xfId="0" applyNumberFormat="1" applyFont="1" applyBorder="1" applyAlignment="1">
      <alignment horizontal="left" vertical="center"/>
    </xf>
    <xf numFmtId="3" fontId="0" fillId="0" borderId="0" xfId="0" applyNumberFormat="1" applyAlignment="1">
      <alignment vertical="center"/>
    </xf>
    <xf numFmtId="9" fontId="0" fillId="0" borderId="0" xfId="3" applyFont="1" applyFill="1" applyAlignment="1">
      <alignment vertical="center"/>
    </xf>
    <xf numFmtId="49" fontId="0" fillId="0" borderId="0" xfId="0" applyNumberFormat="1" applyAlignment="1">
      <alignment vertical="center"/>
    </xf>
    <xf numFmtId="164" fontId="0" fillId="0" borderId="0" xfId="2" applyNumberFormat="1" applyFont="1" applyFill="1" applyBorder="1" applyAlignment="1">
      <alignment horizontal="center" vertical="center"/>
    </xf>
    <xf numFmtId="9" fontId="0" fillId="0" borderId="6" xfId="3" applyFont="1" applyFill="1" applyBorder="1" applyAlignment="1">
      <alignment horizontal="center" vertical="center"/>
    </xf>
    <xf numFmtId="9" fontId="0" fillId="0" borderId="9" xfId="3" applyFont="1" applyFill="1" applyBorder="1" applyAlignment="1">
      <alignment horizontal="center" vertical="center"/>
    </xf>
    <xf numFmtId="164" fontId="0" fillId="0" borderId="8" xfId="2" applyNumberFormat="1" applyFont="1" applyFill="1" applyBorder="1" applyAlignment="1">
      <alignment vertical="center"/>
    </xf>
    <xf numFmtId="9" fontId="0" fillId="0" borderId="0" xfId="3" applyFont="1" applyBorder="1" applyAlignment="1">
      <alignment vertical="center"/>
    </xf>
    <xf numFmtId="9" fontId="0" fillId="0" borderId="6" xfId="3" applyFont="1" applyBorder="1" applyAlignment="1">
      <alignment vertical="center"/>
    </xf>
    <xf numFmtId="166" fontId="0" fillId="0" borderId="8" xfId="1" applyNumberFormat="1" applyFont="1" applyBorder="1" applyAlignment="1">
      <alignment vertical="center"/>
    </xf>
    <xf numFmtId="9" fontId="0" fillId="0" borderId="8" xfId="3" applyFont="1" applyBorder="1" applyAlignment="1">
      <alignment vertical="center"/>
    </xf>
    <xf numFmtId="9" fontId="0" fillId="0" borderId="9" xfId="3" applyFont="1" applyBorder="1" applyAlignment="1">
      <alignment vertical="center"/>
    </xf>
    <xf numFmtId="166" fontId="0" fillId="0" borderId="0" xfId="1" applyNumberFormat="1" applyFont="1" applyFill="1" applyBorder="1" applyAlignment="1">
      <alignment vertical="center"/>
    </xf>
    <xf numFmtId="9" fontId="0" fillId="0" borderId="0" xfId="3" applyFont="1" applyFill="1" applyBorder="1" applyAlignment="1">
      <alignment vertical="center"/>
    </xf>
    <xf numFmtId="0" fontId="0" fillId="0" borderId="0" xfId="0" applyAlignment="1">
      <alignment horizontal="left" indent="2"/>
    </xf>
    <xf numFmtId="169" fontId="0" fillId="0" borderId="0" xfId="0" applyNumberFormat="1"/>
    <xf numFmtId="169" fontId="0" fillId="0" borderId="8" xfId="0" applyNumberFormat="1" applyBorder="1"/>
    <xf numFmtId="0" fontId="0" fillId="4" borderId="0" xfId="0" applyFill="1" applyAlignment="1">
      <alignment vertical="center"/>
    </xf>
    <xf numFmtId="164" fontId="0" fillId="4" borderId="0" xfId="2" applyNumberFormat="1" applyFont="1" applyFill="1" applyBorder="1"/>
    <xf numFmtId="0" fontId="10" fillId="0" borderId="0" xfId="0" applyFont="1" applyAlignment="1">
      <alignment vertical="center"/>
    </xf>
    <xf numFmtId="14" fontId="11" fillId="0" borderId="0" xfId="0" applyNumberFormat="1" applyFont="1"/>
    <xf numFmtId="0" fontId="7" fillId="0" borderId="0" xfId="0" applyFont="1" applyAlignment="1">
      <alignment vertical="center"/>
    </xf>
    <xf numFmtId="164" fontId="0" fillId="0" borderId="6" xfId="2" applyNumberFormat="1" applyFont="1" applyBorder="1" applyAlignment="1">
      <alignment vertical="center"/>
    </xf>
    <xf numFmtId="164" fontId="0" fillId="0" borderId="9" xfId="2" applyNumberFormat="1" applyFont="1" applyBorder="1" applyAlignment="1">
      <alignment vertical="center"/>
    </xf>
    <xf numFmtId="0" fontId="12" fillId="0" borderId="0" xfId="0" applyFont="1" applyAlignment="1">
      <alignment vertical="center"/>
    </xf>
    <xf numFmtId="49" fontId="12" fillId="0" borderId="0" xfId="0" applyNumberFormat="1" applyFont="1"/>
    <xf numFmtId="164" fontId="12" fillId="0" borderId="0" xfId="2" applyNumberFormat="1" applyFont="1" applyBorder="1"/>
    <xf numFmtId="164" fontId="12" fillId="0" borderId="11" xfId="2" applyNumberFormat="1" applyFont="1" applyBorder="1"/>
    <xf numFmtId="0" fontId="2" fillId="0" borderId="0" xfId="0" applyFont="1"/>
    <xf numFmtId="0" fontId="13" fillId="9" borderId="21" xfId="0" applyFont="1" applyFill="1" applyBorder="1" applyAlignment="1">
      <alignment horizontal="center" vertical="center" wrapText="1"/>
    </xf>
    <xf numFmtId="0" fontId="13" fillId="9" borderId="22" xfId="0" applyFont="1" applyFill="1" applyBorder="1" applyAlignment="1">
      <alignment horizontal="center" vertical="center" wrapText="1"/>
    </xf>
    <xf numFmtId="0" fontId="13" fillId="9" borderId="23" xfId="0" applyFont="1" applyFill="1" applyBorder="1" applyAlignment="1">
      <alignment horizontal="center" vertical="center" wrapText="1"/>
    </xf>
    <xf numFmtId="9" fontId="0" fillId="0" borderId="16" xfId="0" applyNumberFormat="1" applyBorder="1" applyAlignment="1">
      <alignment horizontal="center" vertical="center"/>
    </xf>
    <xf numFmtId="9" fontId="0" fillId="0" borderId="18" xfId="0" applyNumberFormat="1" applyBorder="1" applyAlignment="1">
      <alignment horizontal="center" vertical="center"/>
    </xf>
    <xf numFmtId="9" fontId="0" fillId="0" borderId="20"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0" fontId="0" fillId="0" borderId="15" xfId="0" applyNumberFormat="1" applyBorder="1" applyAlignment="1">
      <alignment horizontal="center" vertical="center"/>
    </xf>
    <xf numFmtId="0" fontId="0" fillId="0" borderId="17" xfId="0" applyBorder="1" applyAlignment="1">
      <alignment horizontal="center" vertical="center"/>
    </xf>
    <xf numFmtId="10" fontId="0" fillId="0" borderId="0" xfId="0" applyNumberFormat="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18" fillId="10" borderId="13" xfId="0" applyFont="1" applyFill="1" applyBorder="1" applyAlignment="1">
      <alignment vertical="center" wrapText="1"/>
    </xf>
    <xf numFmtId="0" fontId="0" fillId="11" borderId="0" xfId="0" applyFill="1"/>
    <xf numFmtId="0" fontId="13" fillId="9" borderId="12" xfId="0" applyFont="1" applyFill="1" applyBorder="1" applyAlignment="1">
      <alignment horizontal="center" vertical="center" wrapText="1"/>
    </xf>
    <xf numFmtId="0" fontId="0" fillId="0" borderId="12" xfId="0" applyBorder="1"/>
    <xf numFmtId="0" fontId="0" fillId="0" borderId="12" xfId="0" applyBorder="1" applyAlignment="1">
      <alignment horizontal="center" vertical="center"/>
    </xf>
    <xf numFmtId="3" fontId="0" fillId="0" borderId="12" xfId="0" applyNumberFormat="1" applyBorder="1" applyAlignment="1">
      <alignment horizontal="center" vertical="center"/>
    </xf>
    <xf numFmtId="167" fontId="0" fillId="0" borderId="12" xfId="0" applyNumberFormat="1" applyBorder="1" applyAlignment="1">
      <alignment horizontal="center" vertical="center"/>
    </xf>
    <xf numFmtId="166" fontId="0" fillId="0" borderId="12" xfId="1" applyNumberFormat="1" applyFont="1" applyBorder="1" applyAlignment="1">
      <alignment horizontal="center" vertical="center"/>
    </xf>
    <xf numFmtId="167" fontId="0" fillId="0" borderId="12" xfId="3" applyNumberFormat="1" applyFont="1" applyBorder="1" applyAlignment="1">
      <alignment horizontal="center" vertical="center"/>
    </xf>
    <xf numFmtId="166" fontId="0" fillId="0" borderId="12" xfId="1" applyNumberFormat="1" applyFont="1" applyFill="1" applyBorder="1" applyAlignment="1">
      <alignment horizontal="center" vertical="center"/>
    </xf>
    <xf numFmtId="0" fontId="13" fillId="0" borderId="0" xfId="0" applyFont="1" applyAlignment="1">
      <alignment vertical="center"/>
    </xf>
    <xf numFmtId="167" fontId="0" fillId="0" borderId="0" xfId="0" applyNumberFormat="1" applyAlignment="1">
      <alignment horizontal="center"/>
    </xf>
    <xf numFmtId="3" fontId="0" fillId="0" borderId="0" xfId="0" applyNumberFormat="1" applyAlignment="1">
      <alignment horizontal="center"/>
    </xf>
    <xf numFmtId="0" fontId="13" fillId="9" borderId="12" xfId="0" applyFont="1" applyFill="1" applyBorder="1" applyAlignment="1">
      <alignment horizontal="center" vertical="center"/>
    </xf>
    <xf numFmtId="167" fontId="2" fillId="6" borderId="12" xfId="3" applyNumberFormat="1" applyFont="1" applyFill="1" applyBorder="1" applyAlignment="1">
      <alignment horizontal="center" vertical="center"/>
    </xf>
    <xf numFmtId="0" fontId="2" fillId="0" borderId="0" xfId="0" applyFont="1" applyAlignment="1">
      <alignment horizontal="center" vertical="center"/>
    </xf>
    <xf numFmtId="0" fontId="2" fillId="6" borderId="0" xfId="0" applyFont="1" applyFill="1" applyAlignment="1">
      <alignment horizontal="center" vertical="center" wrapText="1"/>
    </xf>
    <xf numFmtId="167" fontId="2" fillId="6" borderId="12" xfId="0" applyNumberFormat="1" applyFont="1" applyFill="1" applyBorder="1" applyAlignment="1">
      <alignment horizontal="center" vertical="center"/>
    </xf>
    <xf numFmtId="0" fontId="17" fillId="6" borderId="0" xfId="0" applyFont="1" applyFill="1" applyAlignment="1">
      <alignment horizontal="center" vertical="center"/>
    </xf>
    <xf numFmtId="0" fontId="19" fillId="10" borderId="13" xfId="0" applyFont="1" applyFill="1" applyBorder="1" applyAlignment="1">
      <alignment horizontal="center" vertical="center" wrapText="1"/>
    </xf>
    <xf numFmtId="0" fontId="19" fillId="10" borderId="13" xfId="0" applyFont="1" applyFill="1" applyBorder="1" applyAlignment="1">
      <alignment vertical="center" wrapText="1"/>
    </xf>
    <xf numFmtId="0" fontId="13" fillId="0" borderId="12" xfId="0" applyFont="1" applyBorder="1" applyAlignment="1">
      <alignment horizontal="center" vertical="center"/>
    </xf>
    <xf numFmtId="167" fontId="0" fillId="0" borderId="0" xfId="0" applyNumberFormat="1"/>
    <xf numFmtId="167" fontId="0" fillId="0" borderId="0" xfId="3" applyNumberFormat="1" applyFont="1"/>
    <xf numFmtId="6" fontId="0" fillId="0" borderId="12" xfId="0" applyNumberFormat="1" applyBorder="1" applyAlignment="1">
      <alignment horizontal="center" vertical="center"/>
    </xf>
    <xf numFmtId="0" fontId="13" fillId="9" borderId="26" xfId="0" applyFont="1" applyFill="1" applyBorder="1" applyAlignment="1">
      <alignment horizontal="center" vertical="center" wrapText="1"/>
    </xf>
    <xf numFmtId="167" fontId="2" fillId="6" borderId="27" xfId="0" applyNumberFormat="1" applyFont="1" applyFill="1" applyBorder="1" applyAlignment="1">
      <alignment horizontal="center" vertical="center"/>
    </xf>
    <xf numFmtId="167" fontId="2" fillId="6" borderId="28" xfId="0" applyNumberFormat="1" applyFont="1" applyFill="1" applyBorder="1" applyAlignment="1">
      <alignment horizontal="center" vertical="center"/>
    </xf>
    <xf numFmtId="0" fontId="0" fillId="0" borderId="29" xfId="0" applyBorder="1"/>
    <xf numFmtId="0" fontId="0" fillId="0" borderId="29" xfId="0" applyBorder="1" applyAlignment="1">
      <alignment horizontal="center" vertical="center"/>
    </xf>
    <xf numFmtId="3" fontId="0" fillId="0" borderId="29" xfId="0" applyNumberFormat="1" applyBorder="1" applyAlignment="1">
      <alignment horizontal="center" vertical="center"/>
    </xf>
    <xf numFmtId="0" fontId="0" fillId="0" borderId="29" xfId="0" applyBorder="1" applyAlignment="1">
      <alignment horizontal="center" vertical="center" wrapText="1"/>
    </xf>
    <xf numFmtId="0" fontId="13" fillId="9" borderId="29" xfId="0" applyFont="1" applyFill="1" applyBorder="1" applyAlignment="1">
      <alignment horizontal="center" vertical="center" wrapText="1"/>
    </xf>
    <xf numFmtId="167" fontId="0" fillId="0" borderId="29" xfId="0" applyNumberFormat="1" applyBorder="1" applyAlignment="1">
      <alignment horizontal="center" vertical="center"/>
    </xf>
    <xf numFmtId="167" fontId="2" fillId="6" borderId="29" xfId="0" applyNumberFormat="1" applyFont="1" applyFill="1" applyBorder="1" applyAlignment="1">
      <alignment horizontal="center" vertical="center"/>
    </xf>
    <xf numFmtId="0" fontId="2" fillId="0" borderId="29" xfId="0" applyFont="1" applyBorder="1" applyAlignment="1">
      <alignment horizontal="center" vertical="center"/>
    </xf>
    <xf numFmtId="0" fontId="0" fillId="12" borderId="29" xfId="0" applyFill="1" applyBorder="1"/>
    <xf numFmtId="0" fontId="0" fillId="12" borderId="29" xfId="0" applyFill="1" applyBorder="1" applyAlignment="1">
      <alignment horizontal="center" vertical="center"/>
    </xf>
    <xf numFmtId="167" fontId="2" fillId="12" borderId="29" xfId="0" applyNumberFormat="1" applyFont="1" applyFill="1" applyBorder="1" applyAlignment="1">
      <alignment horizontal="center" vertical="center"/>
    </xf>
    <xf numFmtId="3" fontId="0" fillId="12" borderId="29" xfId="0" applyNumberFormat="1" applyFill="1" applyBorder="1" applyAlignment="1">
      <alignment horizontal="center" vertical="center"/>
    </xf>
    <xf numFmtId="6" fontId="0" fillId="0" borderId="29" xfId="0" applyNumberFormat="1" applyBorder="1" applyAlignment="1">
      <alignment horizontal="center" vertical="center"/>
    </xf>
    <xf numFmtId="0" fontId="13" fillId="0" borderId="29" xfId="0" applyFont="1" applyBorder="1" applyAlignment="1">
      <alignment horizontal="center" vertical="center" wrapText="1"/>
    </xf>
    <xf numFmtId="0" fontId="14" fillId="5" borderId="13" xfId="0" applyFont="1" applyFill="1" applyBorder="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16" fillId="0" borderId="29" xfId="0" applyFont="1" applyBorder="1"/>
    <xf numFmtId="0" fontId="0" fillId="2" borderId="29" xfId="0" applyFill="1" applyBorder="1"/>
    <xf numFmtId="0" fontId="16" fillId="2" borderId="29" xfId="0" applyFont="1" applyFill="1" applyBorder="1"/>
    <xf numFmtId="0" fontId="2" fillId="0" borderId="29" xfId="0" applyFont="1" applyBorder="1"/>
    <xf numFmtId="0" fontId="17" fillId="12" borderId="29" xfId="0" applyFont="1" applyFill="1" applyBorder="1" applyAlignment="1">
      <alignment vertical="center" wrapText="1"/>
    </xf>
    <xf numFmtId="0" fontId="17" fillId="0" borderId="0" xfId="0" applyFont="1" applyAlignment="1">
      <alignment wrapText="1"/>
    </xf>
    <xf numFmtId="3" fontId="0" fillId="0" borderId="29" xfId="0" applyNumberFormat="1" applyBorder="1" applyAlignment="1">
      <alignment horizontal="center" vertical="center" wrapText="1"/>
    </xf>
    <xf numFmtId="49" fontId="0" fillId="0" borderId="29" xfId="0" applyNumberFormat="1" applyBorder="1" applyAlignment="1">
      <alignment horizontal="center" vertical="center" wrapText="1"/>
    </xf>
    <xf numFmtId="49" fontId="2" fillId="12" borderId="29" xfId="0" applyNumberFormat="1" applyFont="1" applyFill="1" applyBorder="1" applyAlignment="1">
      <alignment horizontal="center" vertical="center" wrapText="1"/>
    </xf>
    <xf numFmtId="3" fontId="2" fillId="12" borderId="29" xfId="0" applyNumberFormat="1" applyFont="1" applyFill="1" applyBorder="1" applyAlignment="1">
      <alignment horizontal="center" vertical="center" wrapText="1"/>
    </xf>
    <xf numFmtId="0" fontId="20" fillId="9" borderId="29" xfId="0" applyFont="1" applyFill="1" applyBorder="1" applyAlignment="1">
      <alignment horizontal="center" vertical="center" wrapText="1"/>
    </xf>
    <xf numFmtId="0" fontId="13" fillId="9" borderId="29" xfId="0" applyFont="1" applyFill="1" applyBorder="1" applyAlignment="1">
      <alignment horizontal="center" vertical="center"/>
    </xf>
    <xf numFmtId="0" fontId="2" fillId="12" borderId="29" xfId="0" applyFont="1" applyFill="1" applyBorder="1" applyAlignment="1">
      <alignment horizontal="center" vertical="center"/>
    </xf>
    <xf numFmtId="10" fontId="2" fillId="12" borderId="29" xfId="0" applyNumberFormat="1" applyFont="1" applyFill="1" applyBorder="1" applyAlignment="1">
      <alignment horizontal="center" vertical="center"/>
    </xf>
    <xf numFmtId="0" fontId="2" fillId="12" borderId="29" xfId="0" applyFont="1" applyFill="1" applyBorder="1" applyAlignment="1">
      <alignment horizontal="center" vertical="center" wrapText="1"/>
    </xf>
    <xf numFmtId="10" fontId="0" fillId="0" borderId="29" xfId="0" applyNumberFormat="1" applyBorder="1" applyAlignment="1">
      <alignment horizontal="center" vertical="center" wrapText="1"/>
    </xf>
    <xf numFmtId="3" fontId="2" fillId="6" borderId="29" xfId="0" applyNumberFormat="1" applyFont="1" applyFill="1" applyBorder="1" applyAlignment="1">
      <alignment horizontal="center" vertical="center" wrapText="1"/>
    </xf>
    <xf numFmtId="0" fontId="21" fillId="10" borderId="13" xfId="0" applyFont="1" applyFill="1" applyBorder="1" applyAlignment="1">
      <alignment horizontal="center" vertical="center" wrapText="1"/>
    </xf>
    <xf numFmtId="0" fontId="21" fillId="10" borderId="12" xfId="0" applyFont="1" applyFill="1" applyBorder="1" applyAlignment="1">
      <alignment horizontal="center" wrapText="1"/>
    </xf>
    <xf numFmtId="0" fontId="0" fillId="0" borderId="29" xfId="0" applyBorder="1" applyAlignment="1">
      <alignment horizontal="left" vertical="center" wrapText="1"/>
    </xf>
    <xf numFmtId="0" fontId="2" fillId="12" borderId="29" xfId="0" applyFont="1" applyFill="1" applyBorder="1" applyAlignment="1">
      <alignment wrapText="1"/>
    </xf>
    <xf numFmtId="0" fontId="17" fillId="12" borderId="0" xfId="0" applyFont="1" applyFill="1" applyAlignment="1">
      <alignment horizontal="center" vertical="center" wrapText="1"/>
    </xf>
    <xf numFmtId="0" fontId="21" fillId="0" borderId="0" xfId="0" applyFont="1" applyAlignment="1">
      <alignment horizontal="center" vertical="center" wrapText="1"/>
    </xf>
    <xf numFmtId="0" fontId="17" fillId="0" borderId="0" xfId="0" applyFont="1" applyAlignment="1">
      <alignment horizontal="center" vertical="center" wrapText="1"/>
    </xf>
    <xf numFmtId="0" fontId="0" fillId="0" borderId="29" xfId="0" applyBorder="1" applyAlignment="1">
      <alignment vertical="center" wrapText="1"/>
    </xf>
    <xf numFmtId="0" fontId="0" fillId="6" borderId="0" xfId="0" applyFill="1" applyAlignment="1">
      <alignment horizontal="center" vertical="center" wrapText="1"/>
    </xf>
    <xf numFmtId="0" fontId="0" fillId="0" borderId="36" xfId="0" applyBorder="1"/>
    <xf numFmtId="0" fontId="2" fillId="0" borderId="36" xfId="0" applyFont="1" applyBorder="1" applyAlignment="1">
      <alignment horizontal="center" vertical="center"/>
    </xf>
    <xf numFmtId="167" fontId="0" fillId="0" borderId="36" xfId="0" applyNumberFormat="1" applyBorder="1" applyAlignment="1">
      <alignment horizontal="center" vertical="center"/>
    </xf>
    <xf numFmtId="0" fontId="2" fillId="0" borderId="12" xfId="0" applyFont="1" applyBorder="1" applyAlignment="1">
      <alignment horizontal="center" vertical="center"/>
    </xf>
    <xf numFmtId="0" fontId="0" fillId="0" borderId="12" xfId="0" applyBorder="1" applyAlignment="1">
      <alignment vertical="center" wrapText="1"/>
    </xf>
    <xf numFmtId="0" fontId="20" fillId="9" borderId="12" xfId="0" applyFont="1" applyFill="1" applyBorder="1" applyAlignment="1">
      <alignment horizontal="center" vertical="center" wrapText="1"/>
    </xf>
    <xf numFmtId="0" fontId="20" fillId="9" borderId="12" xfId="0" applyFont="1" applyFill="1" applyBorder="1" applyAlignment="1">
      <alignment horizontal="right" vertical="center" wrapText="1"/>
    </xf>
    <xf numFmtId="167" fontId="0" fillId="0" borderId="12" xfId="0" applyNumberFormat="1" applyBorder="1" applyAlignment="1">
      <alignment horizontal="right" vertical="center" wrapText="1"/>
    </xf>
    <xf numFmtId="0" fontId="15" fillId="8" borderId="1" xfId="0" applyFont="1" applyFill="1" applyBorder="1" applyAlignment="1">
      <alignment horizontal="center" vertical="center" wrapText="1"/>
    </xf>
    <xf numFmtId="0" fontId="15" fillId="8" borderId="20"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14" fillId="0" borderId="0" xfId="0" applyFont="1" applyAlignment="1">
      <alignment horizontal="center" vertical="center" wrapText="1"/>
    </xf>
    <xf numFmtId="0" fontId="14" fillId="0" borderId="18" xfId="0" applyFont="1" applyBorder="1" applyAlignment="1">
      <alignment horizontal="center" vertical="center" wrapText="1"/>
    </xf>
    <xf numFmtId="0" fontId="14" fillId="0" borderId="17" xfId="0" applyFont="1" applyBorder="1" applyAlignment="1">
      <alignment horizontal="center" vertical="center" wrapText="1"/>
    </xf>
    <xf numFmtId="0" fontId="15" fillId="0" borderId="0" xfId="0" applyFont="1" applyAlignment="1">
      <alignment horizontal="center" vertical="center" wrapText="1"/>
    </xf>
    <xf numFmtId="10" fontId="14" fillId="0" borderId="0" xfId="0" applyNumberFormat="1" applyFont="1" applyAlignment="1">
      <alignment horizontal="center" vertical="center" wrapText="1"/>
    </xf>
    <xf numFmtId="9" fontId="14" fillId="0" borderId="0" xfId="0" applyNumberFormat="1" applyFont="1" applyAlignment="1">
      <alignment horizontal="center" vertical="center" wrapText="1"/>
    </xf>
    <xf numFmtId="3" fontId="14" fillId="0" borderId="0" xfId="0" applyNumberFormat="1" applyFont="1" applyAlignment="1">
      <alignment horizontal="center" vertical="center" wrapText="1"/>
    </xf>
    <xf numFmtId="0" fontId="2" fillId="0" borderId="12" xfId="0" applyFont="1" applyBorder="1" applyAlignment="1">
      <alignment horizontal="center" vertical="center" wrapText="1"/>
    </xf>
    <xf numFmtId="0" fontId="2" fillId="0" borderId="12" xfId="0" applyFont="1" applyBorder="1" applyAlignment="1">
      <alignment horizontal="right" vertical="center" wrapText="1"/>
    </xf>
    <xf numFmtId="3" fontId="0" fillId="0" borderId="12" xfId="0" applyNumberFormat="1" applyBorder="1" applyAlignment="1">
      <alignment horizontal="right" vertical="center" wrapText="1"/>
    </xf>
    <xf numFmtId="0" fontId="14" fillId="5" borderId="12" xfId="0" applyFont="1" applyFill="1" applyBorder="1" applyAlignment="1">
      <alignment horizontal="left" vertical="center" wrapText="1"/>
    </xf>
    <xf numFmtId="0" fontId="14" fillId="14" borderId="12" xfId="0" applyFont="1" applyFill="1" applyBorder="1" applyAlignment="1">
      <alignment vertical="center" wrapText="1"/>
    </xf>
    <xf numFmtId="0" fontId="14" fillId="14" borderId="12" xfId="0" applyFont="1" applyFill="1" applyBorder="1" applyAlignment="1">
      <alignment horizontal="center" vertical="center" wrapText="1"/>
    </xf>
    <xf numFmtId="0" fontId="17" fillId="15" borderId="0" xfId="0" applyFont="1" applyFill="1"/>
    <xf numFmtId="0" fontId="17" fillId="15" borderId="0" xfId="0" applyFont="1" applyFill="1" applyAlignment="1">
      <alignment horizontal="center" vertical="center"/>
    </xf>
    <xf numFmtId="0" fontId="14" fillId="14" borderId="13" xfId="0" applyFont="1" applyFill="1" applyBorder="1" applyAlignment="1">
      <alignment vertical="center" wrapText="1"/>
    </xf>
    <xf numFmtId="0" fontId="14" fillId="14" borderId="13" xfId="0" applyFont="1" applyFill="1" applyBorder="1" applyAlignment="1">
      <alignment horizontal="center" vertical="center" wrapText="1"/>
    </xf>
    <xf numFmtId="0" fontId="0" fillId="0" borderId="12" xfId="0" applyBorder="1" applyAlignment="1">
      <alignment horizontal="right" vertical="center" wrapText="1"/>
    </xf>
    <xf numFmtId="0" fontId="13" fillId="9" borderId="12" xfId="0" applyFont="1" applyFill="1" applyBorder="1" applyAlignment="1">
      <alignment horizontal="right" vertical="center" wrapText="1"/>
    </xf>
    <xf numFmtId="0" fontId="23" fillId="0" borderId="0" xfId="4"/>
    <xf numFmtId="0" fontId="25" fillId="17" borderId="0" xfId="4" applyFont="1" applyFill="1" applyAlignment="1">
      <alignment horizontal="center" vertical="center" wrapText="1"/>
    </xf>
    <xf numFmtId="0" fontId="23" fillId="0" borderId="0" xfId="4" applyAlignment="1">
      <alignment vertical="center"/>
    </xf>
    <xf numFmtId="3" fontId="23" fillId="0" borderId="0" xfId="4" applyNumberFormat="1" applyAlignment="1">
      <alignment vertical="center"/>
    </xf>
    <xf numFmtId="167" fontId="23" fillId="0" borderId="0" xfId="4" applyNumberFormat="1" applyAlignment="1">
      <alignment vertical="center"/>
    </xf>
    <xf numFmtId="0" fontId="26" fillId="18" borderId="0" xfId="4" applyFont="1" applyFill="1" applyAlignment="1">
      <alignment vertical="center" wrapText="1"/>
    </xf>
    <xf numFmtId="0" fontId="27" fillId="13" borderId="0" xfId="4" applyFont="1" applyFill="1" applyAlignment="1">
      <alignment wrapText="1"/>
    </xf>
    <xf numFmtId="0" fontId="23" fillId="0" borderId="0" xfId="4" applyAlignment="1">
      <alignment wrapText="1"/>
    </xf>
    <xf numFmtId="0" fontId="17" fillId="6" borderId="0" xfId="0" applyFont="1" applyFill="1" applyAlignment="1">
      <alignment horizontal="center" vertical="center"/>
    </xf>
    <xf numFmtId="0" fontId="24" fillId="16" borderId="0" xfId="4" applyFont="1" applyFill="1" applyAlignment="1">
      <alignment horizontal="left" vertical="center"/>
    </xf>
    <xf numFmtId="0" fontId="7" fillId="7" borderId="14" xfId="0" applyFont="1" applyFill="1" applyBorder="1" applyAlignment="1">
      <alignment horizontal="center" vertical="center" wrapText="1"/>
    </xf>
    <xf numFmtId="0" fontId="7" fillId="7" borderId="15"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7" fillId="7" borderId="0" xfId="0" applyFont="1" applyFill="1" applyAlignment="1">
      <alignment horizontal="center" vertical="center" wrapText="1"/>
    </xf>
    <xf numFmtId="0" fontId="7" fillId="7" borderId="18" xfId="0" applyFont="1" applyFill="1" applyBorder="1" applyAlignment="1">
      <alignment horizontal="center" vertical="center" wrapText="1"/>
    </xf>
    <xf numFmtId="0" fontId="7" fillId="7" borderId="1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20" xfId="0" applyFont="1" applyFill="1" applyBorder="1" applyAlignment="1">
      <alignment horizontal="center" vertical="center" wrapText="1"/>
    </xf>
    <xf numFmtId="0" fontId="17" fillId="6" borderId="13" xfId="0" applyFont="1" applyFill="1" applyBorder="1" applyAlignment="1">
      <alignment horizontal="center" vertical="center"/>
    </xf>
    <xf numFmtId="0" fontId="0" fillId="6" borderId="24" xfId="0" applyFill="1" applyBorder="1" applyAlignment="1">
      <alignment horizontal="center" vertical="center"/>
    </xf>
    <xf numFmtId="0" fontId="0" fillId="6" borderId="17" xfId="0" applyFill="1" applyBorder="1" applyAlignment="1">
      <alignment horizontal="center" vertical="center"/>
    </xf>
    <xf numFmtId="0" fontId="0" fillId="6" borderId="19" xfId="0" applyFill="1" applyBorder="1" applyAlignment="1">
      <alignment horizontal="center" vertical="center"/>
    </xf>
    <xf numFmtId="0" fontId="17" fillId="6" borderId="14" xfId="0" applyFont="1" applyFill="1" applyBorder="1" applyAlignment="1">
      <alignment horizontal="center" vertical="center"/>
    </xf>
    <xf numFmtId="0" fontId="0" fillId="6" borderId="25" xfId="0" applyFill="1" applyBorder="1" applyAlignment="1">
      <alignment horizontal="center" vertical="center"/>
    </xf>
    <xf numFmtId="0" fontId="17" fillId="6" borderId="29" xfId="0" applyFont="1" applyFill="1" applyBorder="1" applyAlignment="1">
      <alignment horizontal="center" vertical="center"/>
    </xf>
    <xf numFmtId="0" fontId="17" fillId="6" borderId="30" xfId="0" applyFont="1" applyFill="1" applyBorder="1" applyAlignment="1">
      <alignment horizontal="center" vertical="center" wrapText="1"/>
    </xf>
    <xf numFmtId="0" fontId="0" fillId="6" borderId="30" xfId="0" applyFill="1" applyBorder="1" applyAlignment="1">
      <alignment horizontal="center" vertical="center" wrapText="1"/>
    </xf>
    <xf numFmtId="0" fontId="0" fillId="6" borderId="29" xfId="0" applyFill="1" applyBorder="1" applyAlignment="1">
      <alignment horizontal="center" vertical="center" wrapText="1"/>
    </xf>
    <xf numFmtId="0" fontId="0" fillId="6" borderId="29" xfId="0" applyFill="1" applyBorder="1" applyAlignment="1">
      <alignment horizontal="center" vertical="center"/>
    </xf>
    <xf numFmtId="0" fontId="17" fillId="6" borderId="29" xfId="0" applyFont="1" applyFill="1" applyBorder="1" applyAlignment="1">
      <alignment horizontal="center" vertical="center" wrapText="1"/>
    </xf>
    <xf numFmtId="0" fontId="0" fillId="2" borderId="0" xfId="0" applyFill="1" applyAlignment="1">
      <alignment horizontal="left" vertical="center" wrapText="1"/>
    </xf>
    <xf numFmtId="0" fontId="0" fillId="0" borderId="0" xfId="0" applyAlignment="1">
      <alignment horizontal="center" vertical="center"/>
    </xf>
    <xf numFmtId="0" fontId="7" fillId="2" borderId="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7" fillId="2" borderId="2"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7" xfId="0" applyFont="1" applyFill="1" applyBorder="1" applyAlignment="1">
      <alignment horizontal="center" vertical="center"/>
    </xf>
    <xf numFmtId="0" fontId="0" fillId="0" borderId="0" xfId="0" applyAlignment="1">
      <alignment horizontal="center" vertical="center" wrapText="1"/>
    </xf>
    <xf numFmtId="0" fontId="7" fillId="6" borderId="2"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6" xfId="0" applyBorder="1" applyAlignment="1">
      <alignment horizontal="center" vertical="center"/>
    </xf>
  </cellXfs>
  <cellStyles count="5">
    <cellStyle name="Comma" xfId="1" builtinId="3"/>
    <cellStyle name="Currency" xfId="2" builtinId="4"/>
    <cellStyle name="Normal" xfId="0" builtinId="0"/>
    <cellStyle name="Normal 2" xfId="4" xr:uid="{71E998A5-9B0B-4D82-93F2-F22405A32E45}"/>
    <cellStyle name="Percent" xfId="3" builtinId="5"/>
  </cellStyles>
  <dxfs count="19">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numFmt numFmtId="13" formatCode="0%"/>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numFmt numFmtId="14" formatCode="0.00%"/>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numFmt numFmtId="3" formatCode="#,##0"/>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border diagonalUp="0" diagonalDown="0" outline="0">
        <left style="thin">
          <color indexed="64"/>
        </left>
        <right/>
        <top/>
        <bottom/>
      </border>
    </dxf>
    <dxf>
      <font>
        <strike val="0"/>
        <outline val="0"/>
        <shadow val="0"/>
        <u val="none"/>
        <vertAlign val="baseline"/>
        <sz val="11"/>
        <color theme="1"/>
        <name val="Roboto"/>
        <scheme val="none"/>
      </font>
      <alignment horizontal="center"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font>
        <strike val="0"/>
        <outline val="0"/>
        <shadow val="0"/>
        <u val="none"/>
        <vertAlign val="baseline"/>
        <sz val="11"/>
        <color theme="1"/>
        <name val="Roboto"/>
        <scheme val="none"/>
      </font>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Roboto"/>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Roboto"/>
        <scheme val="none"/>
      </font>
      <fill>
        <patternFill patternType="solid">
          <fgColor indexed="64"/>
          <bgColor rgb="FFB3A369"/>
        </patternFill>
      </fill>
      <alignment horizontal="center" vertical="center" textRotation="0" wrapText="1" indent="0" justifyLastLine="0" shrinkToFit="0" readingOrder="0"/>
    </dxf>
  </dxfs>
  <tableStyles count="0" defaultTableStyle="TableStyleMedium2" defaultPivotStyle="PivotStyleLight16"/>
  <colors>
    <mruColors>
      <color rgb="FF003057"/>
      <color rgb="FFF1EAC1"/>
      <color rgb="FFF3EDC9"/>
      <color rgb="FFEAAA00"/>
      <color rgb="FFB3A369"/>
      <color rgb="FF066034"/>
      <color rgb="FF8F713D"/>
      <color rgb="FFF9F6E5"/>
      <color rgb="FFD7ECCC"/>
      <color rgb="FFFFF4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'Quality of Life'!$T$25</c:f>
              <c:strCache>
                <c:ptCount val="1"/>
                <c:pt idx="0">
                  <c:v>Chamblee</c:v>
                </c:pt>
              </c:strCache>
            </c:strRef>
          </c:tx>
          <c:spPr>
            <a:ln w="28575" cap="rnd">
              <a:solidFill>
                <a:srgbClr val="B3A369"/>
              </a:solidFill>
              <a:round/>
            </a:ln>
            <a:effectLst/>
          </c:spPr>
          <c:marker>
            <c:symbol val="none"/>
          </c:marker>
          <c:dLbls>
            <c:dLbl>
              <c:idx val="0"/>
              <c:layout>
                <c:manualLayout>
                  <c:x val="-9.444444444444447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6-0E4D-4F34-A860-3E4B1D3FD751}"/>
                </c:ext>
              </c:extLst>
            </c:dLbl>
            <c:dLbl>
              <c:idx val="2"/>
              <c:layout>
                <c:manualLayout>
                  <c:x val="-1.9444444444444545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'Quality of Life'!$U$24:$W$24</c:f>
              <c:numCache>
                <c:formatCode>General</c:formatCode>
                <c:ptCount val="3"/>
                <c:pt idx="0">
                  <c:v>2015</c:v>
                </c:pt>
                <c:pt idx="1">
                  <c:v>2020</c:v>
                </c:pt>
                <c:pt idx="2">
                  <c:v>2024</c:v>
                </c:pt>
              </c:numCache>
            </c:numRef>
          </c:cat>
          <c:val>
            <c:numRef>
              <c:f>'Quality of Life'!$U$25:$W$25</c:f>
              <c:numCache>
                <c:formatCode>#,##0</c:formatCode>
                <c:ptCount val="3"/>
                <c:pt idx="0">
                  <c:v>2038</c:v>
                </c:pt>
                <c:pt idx="1">
                  <c:v>3382</c:v>
                </c:pt>
                <c:pt idx="2">
                  <c:v>4165</c:v>
                </c:pt>
              </c:numCache>
            </c:numRef>
          </c:val>
          <c:smooth val="0"/>
          <c:extLst>
            <c:ext xmlns:c16="http://schemas.microsoft.com/office/drawing/2014/chart" uri="{C3380CC4-5D6E-409C-BE32-E72D297353CC}">
              <c16:uniqueId val="{00000000-0E4D-4F34-A860-3E4B1D3FD751}"/>
            </c:ext>
          </c:extLst>
        </c:ser>
        <c:ser>
          <c:idx val="1"/>
          <c:order val="1"/>
          <c:tx>
            <c:strRef>
              <c:f>'Quality of Life'!$T$26</c:f>
              <c:strCache>
                <c:ptCount val="1"/>
                <c:pt idx="0">
                  <c:v>DeKalb County</c:v>
                </c:pt>
              </c:strCache>
            </c:strRef>
          </c:tx>
          <c:spPr>
            <a:ln w="28575" cap="rnd">
              <a:solidFill>
                <a:srgbClr val="F3EDC9"/>
              </a:solidFill>
              <a:round/>
            </a:ln>
            <a:effectLst/>
          </c:spPr>
          <c:marker>
            <c:symbol val="none"/>
          </c:marker>
          <c:dLbls>
            <c:dLbl>
              <c:idx val="0"/>
              <c:layout>
                <c:manualLayout>
                  <c:x val="-9.7222222222222252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4D-4F34-A860-3E4B1D3FD751}"/>
                </c:ext>
              </c:extLst>
            </c:dLbl>
            <c:dLbl>
              <c:idx val="2"/>
              <c:layout>
                <c:manualLayout>
                  <c:x val="-8.3333333333333332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'Quality of Life'!$U$24:$W$24</c:f>
              <c:numCache>
                <c:formatCode>General</c:formatCode>
                <c:ptCount val="3"/>
                <c:pt idx="0">
                  <c:v>2015</c:v>
                </c:pt>
                <c:pt idx="1">
                  <c:v>2020</c:v>
                </c:pt>
                <c:pt idx="2">
                  <c:v>2024</c:v>
                </c:pt>
              </c:numCache>
            </c:numRef>
          </c:cat>
          <c:val>
            <c:numRef>
              <c:f>'Quality of Life'!$U$26:$W$26</c:f>
              <c:numCache>
                <c:formatCode>#,##0</c:formatCode>
                <c:ptCount val="3"/>
                <c:pt idx="0">
                  <c:v>96945</c:v>
                </c:pt>
                <c:pt idx="1">
                  <c:v>105192</c:v>
                </c:pt>
                <c:pt idx="2">
                  <c:v>109651</c:v>
                </c:pt>
              </c:numCache>
            </c:numRef>
          </c:val>
          <c:smooth val="0"/>
          <c:extLst>
            <c:ext xmlns:c16="http://schemas.microsoft.com/office/drawing/2014/chart" uri="{C3380CC4-5D6E-409C-BE32-E72D297353CC}">
              <c16:uniqueId val="{00000001-0E4D-4F34-A860-3E4B1D3FD751}"/>
            </c:ext>
          </c:extLst>
        </c:ser>
        <c:ser>
          <c:idx val="2"/>
          <c:order val="2"/>
          <c:tx>
            <c:strRef>
              <c:f>'Quality of Life'!$T$27</c:f>
              <c:strCache>
                <c:ptCount val="1"/>
                <c:pt idx="0">
                  <c:v>Atlanta MSA</c:v>
                </c:pt>
              </c:strCache>
            </c:strRef>
          </c:tx>
          <c:spPr>
            <a:ln w="28575" cap="rnd">
              <a:solidFill>
                <a:srgbClr val="EAAA00"/>
              </a:solidFill>
              <a:round/>
            </a:ln>
            <a:effectLst/>
          </c:spPr>
          <c:marker>
            <c:symbol val="none"/>
          </c:marker>
          <c:dLbls>
            <c:dLbl>
              <c:idx val="0"/>
              <c:layout>
                <c:manualLayout>
                  <c:x val="-0.11388888888888889"/>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8-0E4D-4F34-A860-3E4B1D3FD751}"/>
                </c:ext>
              </c:extLst>
            </c:dLbl>
            <c:dLbl>
              <c:idx val="2"/>
              <c:layout>
                <c:manualLayout>
                  <c:x val="-5.555555555555657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'Quality of Life'!$U$24:$W$24</c:f>
              <c:numCache>
                <c:formatCode>General</c:formatCode>
                <c:ptCount val="3"/>
                <c:pt idx="0">
                  <c:v>2015</c:v>
                </c:pt>
                <c:pt idx="1">
                  <c:v>2020</c:v>
                </c:pt>
                <c:pt idx="2">
                  <c:v>2024</c:v>
                </c:pt>
              </c:numCache>
            </c:numRef>
          </c:cat>
          <c:val>
            <c:numRef>
              <c:f>'Quality of Life'!$U$27:$W$27</c:f>
              <c:numCache>
                <c:formatCode>#,##0</c:formatCode>
                <c:ptCount val="3"/>
                <c:pt idx="0">
                  <c:v>489627</c:v>
                </c:pt>
                <c:pt idx="1">
                  <c:v>552113</c:v>
                </c:pt>
                <c:pt idx="2">
                  <c:v>576753</c:v>
                </c:pt>
              </c:numCache>
            </c:numRef>
          </c:val>
          <c:smooth val="0"/>
          <c:extLst>
            <c:ext xmlns:c16="http://schemas.microsoft.com/office/drawing/2014/chart" uri="{C3380CC4-5D6E-409C-BE32-E72D297353CC}">
              <c16:uniqueId val="{00000002-0E4D-4F34-A860-3E4B1D3FD751}"/>
            </c:ext>
          </c:extLst>
        </c:ser>
        <c:ser>
          <c:idx val="3"/>
          <c:order val="3"/>
          <c:tx>
            <c:strRef>
              <c:f>'Quality of Life'!$T$28</c:f>
              <c:strCache>
                <c:ptCount val="1"/>
                <c:pt idx="0">
                  <c:v>Georgia</c:v>
                </c:pt>
              </c:strCache>
            </c:strRef>
          </c:tx>
          <c:spPr>
            <a:ln w="28575" cap="rnd">
              <a:solidFill>
                <a:srgbClr val="003057"/>
              </a:solidFill>
              <a:round/>
            </a:ln>
            <a:effectLst/>
          </c:spPr>
          <c:marker>
            <c:symbol val="none"/>
          </c:marker>
          <c:dLbls>
            <c:dLbl>
              <c:idx val="0"/>
              <c:layout>
                <c:manualLayout>
                  <c:x val="-0.11388888888888889"/>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C5-4D38-BC2C-DD41CCD1298E}"/>
                </c:ext>
              </c:extLst>
            </c:dLbl>
            <c:dLbl>
              <c:idx val="1"/>
              <c:delete val="1"/>
              <c:extLst>
                <c:ext xmlns:c15="http://schemas.microsoft.com/office/drawing/2012/chart" uri="{CE6537A1-D6FC-4f65-9D91-7224C49458BB}"/>
                <c:ext xmlns:c16="http://schemas.microsoft.com/office/drawing/2014/chart" uri="{C3380CC4-5D6E-409C-BE32-E72D297353CC}">
                  <c16:uniqueId val="{00000008-CFC5-4D38-BC2C-DD41CCD129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'Quality of Life'!$U$24:$W$24</c:f>
              <c:numCache>
                <c:formatCode>General</c:formatCode>
                <c:ptCount val="3"/>
                <c:pt idx="0">
                  <c:v>2015</c:v>
                </c:pt>
                <c:pt idx="1">
                  <c:v>2020</c:v>
                </c:pt>
                <c:pt idx="2">
                  <c:v>2024</c:v>
                </c:pt>
              </c:numCache>
            </c:numRef>
          </c:cat>
          <c:val>
            <c:numRef>
              <c:f>'Quality of Life'!$U$28:$W$28</c:f>
              <c:numCache>
                <c:formatCode>#,##0</c:formatCode>
                <c:ptCount val="3"/>
                <c:pt idx="0">
                  <c:v>575259</c:v>
                </c:pt>
                <c:pt idx="1">
                  <c:v>675951</c:v>
                </c:pt>
                <c:pt idx="2">
                  <c:v>721658</c:v>
                </c:pt>
              </c:numCache>
            </c:numRef>
          </c:val>
          <c:smooth val="0"/>
          <c:extLst>
            <c:ext xmlns:c16="http://schemas.microsoft.com/office/drawing/2014/chart" uri="{C3380CC4-5D6E-409C-BE32-E72D297353CC}">
              <c16:uniqueId val="{00000007-CFC5-4D38-BC2C-DD41CCD1298E}"/>
            </c:ext>
          </c:extLst>
        </c:ser>
        <c:dLbls>
          <c:showLegendKey val="0"/>
          <c:showVal val="0"/>
          <c:showCatName val="0"/>
          <c:showSerName val="0"/>
          <c:showPercent val="0"/>
          <c:showBubbleSize val="0"/>
        </c:dLbls>
        <c:smooth val="0"/>
        <c:axId val="486482000"/>
        <c:axId val="486480080"/>
      </c:lineChart>
      <c:catAx>
        <c:axId val="4864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486480080"/>
        <c:crosses val="autoZero"/>
        <c:auto val="1"/>
        <c:lblAlgn val="ctr"/>
        <c:lblOffset val="100"/>
        <c:noMultiLvlLbl val="0"/>
      </c:catAx>
      <c:valAx>
        <c:axId val="4864800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486482000"/>
        <c:crosses val="autoZero"/>
        <c:crossBetween val="between"/>
        <c:majorUnit val="1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'Quality of Life'!$U$24</c:f>
              <c:strCache>
                <c:ptCount val="1"/>
                <c:pt idx="0">
                  <c:v>2015</c:v>
                </c:pt>
              </c:strCache>
            </c:strRef>
          </c:tx>
          <c:spPr>
            <a:solidFill>
              <a:srgbClr val="B3A369"/>
            </a:solidFill>
            <a:ln>
              <a:noFill/>
            </a:ln>
            <a:effectLst/>
          </c:spPr>
          <c:invertIfNegative val="0"/>
          <c:dLbls>
            <c:dLbl>
              <c:idx val="1"/>
              <c:layout>
                <c:manualLayout>
                  <c:x val="-5.0925337632079971E-17"/>
                  <c:y val="1.99311023622047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23-4F8C-826E-9E92C0EBC3EE}"/>
                </c:ext>
              </c:extLst>
            </c:dLbl>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Life'!$T$25:$T$28</c:f>
              <c:strCache>
                <c:ptCount val="4"/>
                <c:pt idx="0">
                  <c:v>Chamblee</c:v>
                </c:pt>
                <c:pt idx="1">
                  <c:v>DeKalb County</c:v>
                </c:pt>
                <c:pt idx="2">
                  <c:v>Atlanta MSA</c:v>
                </c:pt>
                <c:pt idx="3">
                  <c:v>Georgia</c:v>
                </c:pt>
              </c:strCache>
            </c:strRef>
          </c:cat>
          <c:val>
            <c:numRef>
              <c:f>'Quality of Life'!$U$25:$U$28</c:f>
              <c:numCache>
                <c:formatCode>#,##0</c:formatCode>
                <c:ptCount val="4"/>
                <c:pt idx="0">
                  <c:v>2038</c:v>
                </c:pt>
                <c:pt idx="1">
                  <c:v>96945</c:v>
                </c:pt>
                <c:pt idx="2">
                  <c:v>489627</c:v>
                </c:pt>
                <c:pt idx="3">
                  <c:v>575259</c:v>
                </c:pt>
              </c:numCache>
            </c:numRef>
          </c:val>
          <c:extLst>
            <c:ext xmlns:c16="http://schemas.microsoft.com/office/drawing/2014/chart" uri="{C3380CC4-5D6E-409C-BE32-E72D297353CC}">
              <c16:uniqueId val="{00000000-ED16-4A00-B92D-306CA481D18D}"/>
            </c:ext>
          </c:extLst>
        </c:ser>
        <c:ser>
          <c:idx val="1"/>
          <c:order val="1"/>
          <c:tx>
            <c:strRef>
              <c:f>'Quality of Life'!$V$24</c:f>
              <c:strCache>
                <c:ptCount val="1"/>
                <c:pt idx="0">
                  <c:v>2020</c:v>
                </c:pt>
              </c:strCache>
            </c:strRef>
          </c:tx>
          <c:spPr>
            <a:solidFill>
              <a:srgbClr val="003057"/>
            </a:solidFill>
            <a:ln>
              <a:noFill/>
            </a:ln>
            <a:effectLst/>
          </c:spPr>
          <c:invertIfNegative val="0"/>
          <c:dLbls>
            <c:dLbl>
              <c:idx val="1"/>
              <c:layout>
                <c:manualLayout>
                  <c:x val="-5.0925337632079971E-17"/>
                  <c:y val="9.01574803149597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23-4F8C-826E-9E92C0EBC3EE}"/>
                </c:ext>
              </c:extLst>
            </c:dLbl>
            <c:dLbl>
              <c:idx val="2"/>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6-A023-4F8C-826E-9E92C0EBC3EE}"/>
                </c:ext>
              </c:extLst>
            </c:dLbl>
            <c:dLbl>
              <c:idx val="3"/>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7-A023-4F8C-826E-9E92C0EBC3EE}"/>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Life'!$T$25:$T$28</c:f>
              <c:strCache>
                <c:ptCount val="4"/>
                <c:pt idx="0">
                  <c:v>Chamblee</c:v>
                </c:pt>
                <c:pt idx="1">
                  <c:v>DeKalb County</c:v>
                </c:pt>
                <c:pt idx="2">
                  <c:v>Atlanta MSA</c:v>
                </c:pt>
                <c:pt idx="3">
                  <c:v>Georgia</c:v>
                </c:pt>
              </c:strCache>
            </c:strRef>
          </c:cat>
          <c:val>
            <c:numRef>
              <c:f>'Quality of Life'!$V$25:$V$28</c:f>
              <c:numCache>
                <c:formatCode>#,##0</c:formatCode>
                <c:ptCount val="4"/>
                <c:pt idx="0">
                  <c:v>3382</c:v>
                </c:pt>
                <c:pt idx="1">
                  <c:v>105192</c:v>
                </c:pt>
                <c:pt idx="2">
                  <c:v>552113</c:v>
                </c:pt>
                <c:pt idx="3">
                  <c:v>675951</c:v>
                </c:pt>
              </c:numCache>
            </c:numRef>
          </c:val>
          <c:extLst>
            <c:ext xmlns:c16="http://schemas.microsoft.com/office/drawing/2014/chart" uri="{C3380CC4-5D6E-409C-BE32-E72D297353CC}">
              <c16:uniqueId val="{00000001-ED16-4A00-B92D-306CA481D18D}"/>
            </c:ext>
          </c:extLst>
        </c:ser>
        <c:ser>
          <c:idx val="2"/>
          <c:order val="2"/>
          <c:tx>
            <c:strRef>
              <c:f>'Quality of Life'!$W$24</c:f>
              <c:strCache>
                <c:ptCount val="1"/>
                <c:pt idx="0">
                  <c:v>2024</c:v>
                </c:pt>
              </c:strCache>
            </c:strRef>
          </c:tx>
          <c:spPr>
            <a:solidFill>
              <a:srgbClr val="EAAA00"/>
            </a:solidFill>
            <a:ln>
              <a:noFill/>
            </a:ln>
            <a:effectLst/>
          </c:spPr>
          <c:invertIfNegative val="0"/>
          <c:dLbls>
            <c:dLbl>
              <c:idx val="1"/>
              <c:layout>
                <c:manualLayout>
                  <c:x val="0"/>
                  <c:y val="1.31266404199474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23-4F8C-826E-9E92C0EBC3EE}"/>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Life'!$T$25:$T$28</c:f>
              <c:strCache>
                <c:ptCount val="4"/>
                <c:pt idx="0">
                  <c:v>Chamblee</c:v>
                </c:pt>
                <c:pt idx="1">
                  <c:v>DeKalb County</c:v>
                </c:pt>
                <c:pt idx="2">
                  <c:v>Atlanta MSA</c:v>
                </c:pt>
                <c:pt idx="3">
                  <c:v>Georgia</c:v>
                </c:pt>
              </c:strCache>
            </c:strRef>
          </c:cat>
          <c:val>
            <c:numRef>
              <c:f>'Quality of Life'!$W$25:$W$28</c:f>
              <c:numCache>
                <c:formatCode>#,##0</c:formatCode>
                <c:ptCount val="4"/>
                <c:pt idx="0">
                  <c:v>4165</c:v>
                </c:pt>
                <c:pt idx="1">
                  <c:v>109651</c:v>
                </c:pt>
                <c:pt idx="2">
                  <c:v>576753</c:v>
                </c:pt>
                <c:pt idx="3">
                  <c:v>721658</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1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'Quality of Life'!$U$30</c:f>
              <c:strCache>
                <c:ptCount val="1"/>
                <c:pt idx="0">
                  <c:v>2015</c:v>
                </c:pt>
              </c:strCache>
            </c:strRef>
          </c:tx>
          <c:spPr>
            <a:solidFill>
              <a:srgbClr val="B3A369"/>
            </a:solidFill>
            <a:ln>
              <a:noFill/>
            </a:ln>
            <a:effectLst/>
          </c:spPr>
          <c:invertIfNegative val="0"/>
          <c:dLbls>
            <c:dLbl>
              <c:idx val="1"/>
              <c:layout>
                <c:manualLayout>
                  <c:x val="0"/>
                  <c:y val="-2.72601341498979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02D-4591-B626-7E8E78B3828D}"/>
                </c:ext>
              </c:extLst>
            </c:dLbl>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Life'!$T$31:$T$35</c:f>
              <c:strCache>
                <c:ptCount val="5"/>
                <c:pt idx="0">
                  <c:v>Brookhaven</c:v>
                </c:pt>
                <c:pt idx="1">
                  <c:v>Chamblee</c:v>
                </c:pt>
                <c:pt idx="2">
                  <c:v>Doraville</c:v>
                </c:pt>
                <c:pt idx="3">
                  <c:v>Dunwoody</c:v>
                </c:pt>
                <c:pt idx="4">
                  <c:v>Sandy Springs</c:v>
                </c:pt>
              </c:strCache>
            </c:strRef>
          </c:cat>
          <c:val>
            <c:numRef>
              <c:f>'Quality of Life'!$U$31:$U$35</c:f>
              <c:numCache>
                <c:formatCode>#,##0</c:formatCode>
                <c:ptCount val="5"/>
                <c:pt idx="0">
                  <c:v>21669</c:v>
                </c:pt>
                <c:pt idx="1">
                  <c:v>2038</c:v>
                </c:pt>
                <c:pt idx="2">
                  <c:v>1341</c:v>
                </c:pt>
                <c:pt idx="3">
                  <c:v>21983</c:v>
                </c:pt>
                <c:pt idx="4">
                  <c:v>42455</c:v>
                </c:pt>
              </c:numCache>
            </c:numRef>
          </c:val>
          <c:extLst>
            <c:ext xmlns:c16="http://schemas.microsoft.com/office/drawing/2014/chart" uri="{C3380CC4-5D6E-409C-BE32-E72D297353CC}">
              <c16:uniqueId val="{00000000-ED16-4A00-B92D-306CA481D18D}"/>
            </c:ext>
          </c:extLst>
        </c:ser>
        <c:ser>
          <c:idx val="1"/>
          <c:order val="1"/>
          <c:tx>
            <c:strRef>
              <c:f>'Quality of Life'!$V$30</c:f>
              <c:strCache>
                <c:ptCount val="1"/>
                <c:pt idx="0">
                  <c:v>2020</c:v>
                </c:pt>
              </c:strCache>
            </c:strRef>
          </c:tx>
          <c:spPr>
            <a:solidFill>
              <a:srgbClr val="003057"/>
            </a:solidFill>
            <a:ln>
              <a:noFill/>
            </a:ln>
            <a:effectLst/>
          </c:spPr>
          <c:invertIfNegative val="0"/>
          <c:dLbls>
            <c:dLbl>
              <c:idx val="1"/>
              <c:layout>
                <c:manualLayout>
                  <c:x val="0"/>
                  <c:y val="9.1652085156022165E-3"/>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Roboto" panose="02000000000000000000"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2D-4591-B626-7E8E78B3828D}"/>
                </c:ext>
              </c:extLst>
            </c:dLbl>
            <c:dLbl>
              <c:idx val="2"/>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6-402D-4591-B626-7E8E78B3828D}"/>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Life'!$T$31:$T$35</c:f>
              <c:strCache>
                <c:ptCount val="5"/>
                <c:pt idx="0">
                  <c:v>Brookhaven</c:v>
                </c:pt>
                <c:pt idx="1">
                  <c:v>Chamblee</c:v>
                </c:pt>
                <c:pt idx="2">
                  <c:v>Doraville</c:v>
                </c:pt>
                <c:pt idx="3">
                  <c:v>Dunwoody</c:v>
                </c:pt>
                <c:pt idx="4">
                  <c:v>Sandy Springs</c:v>
                </c:pt>
              </c:strCache>
            </c:strRef>
          </c:cat>
          <c:val>
            <c:numRef>
              <c:f>'Quality of Life'!$V$31:$V$35</c:f>
              <c:numCache>
                <c:formatCode>#,##0</c:formatCode>
                <c:ptCount val="5"/>
                <c:pt idx="0">
                  <c:v>27013</c:v>
                </c:pt>
                <c:pt idx="1">
                  <c:v>3382</c:v>
                </c:pt>
                <c:pt idx="2">
                  <c:v>2161</c:v>
                </c:pt>
                <c:pt idx="3">
                  <c:v>24289</c:v>
                </c:pt>
                <c:pt idx="4">
                  <c:v>52726</c:v>
                </c:pt>
              </c:numCache>
            </c:numRef>
          </c:val>
          <c:extLst>
            <c:ext xmlns:c16="http://schemas.microsoft.com/office/drawing/2014/chart" uri="{C3380CC4-5D6E-409C-BE32-E72D297353CC}">
              <c16:uniqueId val="{00000001-ED16-4A00-B92D-306CA481D18D}"/>
            </c:ext>
          </c:extLst>
        </c:ser>
        <c:ser>
          <c:idx val="2"/>
          <c:order val="2"/>
          <c:tx>
            <c:strRef>
              <c:f>'Quality of Life'!$W$30</c:f>
              <c:strCache>
                <c:ptCount val="1"/>
                <c:pt idx="0">
                  <c:v>2024</c:v>
                </c:pt>
              </c:strCache>
            </c:strRef>
          </c:tx>
          <c:spPr>
            <a:solidFill>
              <a:srgbClr val="EAAA00"/>
            </a:solidFill>
            <a:ln>
              <a:noFill/>
            </a:ln>
            <a:effectLst/>
          </c:spPr>
          <c:invertIfNegative val="0"/>
          <c:dLbls>
            <c:dLbl>
              <c:idx val="1"/>
              <c:layout>
                <c:manualLayout>
                  <c:x val="0"/>
                  <c:y val="2.34197287839020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02D-4591-B626-7E8E78B3828D}"/>
                </c:ext>
              </c:extLst>
            </c:dLbl>
            <c:dLbl>
              <c:idx val="2"/>
              <c:layout>
                <c:manualLayout>
                  <c:x val="0"/>
                  <c:y val="9.18051910177894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02D-4591-B626-7E8E78B3828D}"/>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Life'!$T$31:$T$35</c:f>
              <c:strCache>
                <c:ptCount val="5"/>
                <c:pt idx="0">
                  <c:v>Brookhaven</c:v>
                </c:pt>
                <c:pt idx="1">
                  <c:v>Chamblee</c:v>
                </c:pt>
                <c:pt idx="2">
                  <c:v>Doraville</c:v>
                </c:pt>
                <c:pt idx="3">
                  <c:v>Dunwoody</c:v>
                </c:pt>
                <c:pt idx="4">
                  <c:v>Sandy Springs</c:v>
                </c:pt>
              </c:strCache>
            </c:strRef>
          </c:cat>
          <c:val>
            <c:numRef>
              <c:f>'Quality of Life'!$W$31:$W$35</c:f>
              <c:numCache>
                <c:formatCode>#,##0</c:formatCode>
                <c:ptCount val="5"/>
                <c:pt idx="0">
                  <c:v>28108</c:v>
                </c:pt>
                <c:pt idx="1">
                  <c:v>4165</c:v>
                </c:pt>
                <c:pt idx="2">
                  <c:v>2630</c:v>
                </c:pt>
                <c:pt idx="3">
                  <c:v>25554</c:v>
                </c:pt>
                <c:pt idx="4">
                  <c:v>55415</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'Labor Force'!$C$2</c:f>
              <c:strCache>
                <c:ptCount val="1"/>
                <c:pt idx="0">
                  <c:v>Median Household Income (2015)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Force'!$B$3:$B$6</c:f>
              <c:strCache>
                <c:ptCount val="4"/>
                <c:pt idx="0">
                  <c:v>Chamblee</c:v>
                </c:pt>
                <c:pt idx="1">
                  <c:v>DeKalb County</c:v>
                </c:pt>
                <c:pt idx="2">
                  <c:v>Atlanta MSA</c:v>
                </c:pt>
                <c:pt idx="3">
                  <c:v>Georgia</c:v>
                </c:pt>
              </c:strCache>
            </c:strRef>
          </c:cat>
          <c:val>
            <c:numRef>
              <c:f>'Labor Force'!$C$3:$C$6</c:f>
              <c:numCache>
                <c:formatCode>"$"#,##0_);[Red]\("$"#,##0\)</c:formatCode>
                <c:ptCount val="4"/>
                <c:pt idx="0">
                  <c:v>47379</c:v>
                </c:pt>
                <c:pt idx="1">
                  <c:v>51376</c:v>
                </c:pt>
                <c:pt idx="2">
                  <c:v>57000</c:v>
                </c:pt>
                <c:pt idx="3">
                  <c:v>49620</c:v>
                </c:pt>
              </c:numCache>
            </c:numRef>
          </c:val>
          <c:extLst>
            <c:ext xmlns:c16="http://schemas.microsoft.com/office/drawing/2014/chart" uri="{C3380CC4-5D6E-409C-BE32-E72D297353CC}">
              <c16:uniqueId val="{00000000-ED16-4A00-B92D-306CA481D18D}"/>
            </c:ext>
          </c:extLst>
        </c:ser>
        <c:ser>
          <c:idx val="1"/>
          <c:order val="1"/>
          <c:tx>
            <c:strRef>
              <c:f>'Labor Force'!$D$2</c:f>
              <c:strCache>
                <c:ptCount val="1"/>
                <c:pt idx="0">
                  <c:v>Median Household Income (2020)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Force'!$B$3:$B$6</c:f>
              <c:strCache>
                <c:ptCount val="4"/>
                <c:pt idx="0">
                  <c:v>Chamblee</c:v>
                </c:pt>
                <c:pt idx="1">
                  <c:v>DeKalb County</c:v>
                </c:pt>
                <c:pt idx="2">
                  <c:v>Atlanta MSA</c:v>
                </c:pt>
                <c:pt idx="3">
                  <c:v>Georgia</c:v>
                </c:pt>
              </c:strCache>
            </c:strRef>
          </c:cat>
          <c:val>
            <c:numRef>
              <c:f>'Labor Force'!$D$3:$D$6</c:f>
              <c:numCache>
                <c:formatCode>"$"#,##0_);[Red]\("$"#,##0\)</c:formatCode>
                <c:ptCount val="4"/>
                <c:pt idx="0">
                  <c:v>66607</c:v>
                </c:pt>
                <c:pt idx="1">
                  <c:v>65116</c:v>
                </c:pt>
                <c:pt idx="2">
                  <c:v>71193</c:v>
                </c:pt>
                <c:pt idx="3">
                  <c:v>61224</c:v>
                </c:pt>
              </c:numCache>
            </c:numRef>
          </c:val>
          <c:extLst>
            <c:ext xmlns:c16="http://schemas.microsoft.com/office/drawing/2014/chart" uri="{C3380CC4-5D6E-409C-BE32-E72D297353CC}">
              <c16:uniqueId val="{00000001-ED16-4A00-B92D-306CA481D18D}"/>
            </c:ext>
          </c:extLst>
        </c:ser>
        <c:ser>
          <c:idx val="2"/>
          <c:order val="2"/>
          <c:tx>
            <c:strRef>
              <c:f>'Labor Force'!$E$2</c:f>
              <c:strCache>
                <c:ptCount val="1"/>
                <c:pt idx="0">
                  <c:v>Median Household Income (2024)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Force'!$B$3:$B$6</c:f>
              <c:strCache>
                <c:ptCount val="4"/>
                <c:pt idx="0">
                  <c:v>Chamblee</c:v>
                </c:pt>
                <c:pt idx="1">
                  <c:v>DeKalb County</c:v>
                </c:pt>
                <c:pt idx="2">
                  <c:v>Atlanta MSA</c:v>
                </c:pt>
                <c:pt idx="3">
                  <c:v>Georgia</c:v>
                </c:pt>
              </c:strCache>
            </c:strRef>
          </c:cat>
          <c:val>
            <c:numRef>
              <c:f>'Labor Force'!$E$3:$E$6</c:f>
              <c:numCache>
                <c:formatCode>"$"#,##0_);[Red]\("$"#,##0\)</c:formatCode>
                <c:ptCount val="4"/>
                <c:pt idx="0">
                  <c:v>84452</c:v>
                </c:pt>
                <c:pt idx="1">
                  <c:v>80644</c:v>
                </c:pt>
                <c:pt idx="2">
                  <c:v>89724</c:v>
                </c:pt>
                <c:pt idx="3">
                  <c:v>77353</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Force'!$C$8</c:f>
              <c:strCache>
                <c:ptCount val="1"/>
                <c:pt idx="0">
                  <c:v>Median Household Income (2015)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Force'!$B$9:$B$13</c:f>
              <c:strCache>
                <c:ptCount val="5"/>
                <c:pt idx="0">
                  <c:v>Brookhaven</c:v>
                </c:pt>
                <c:pt idx="1">
                  <c:v>Chamblee</c:v>
                </c:pt>
                <c:pt idx="2">
                  <c:v>Doraville</c:v>
                </c:pt>
                <c:pt idx="3">
                  <c:v>Dunwoody</c:v>
                </c:pt>
                <c:pt idx="4">
                  <c:v>Sandy Springs</c:v>
                </c:pt>
              </c:strCache>
            </c:strRef>
          </c:cat>
          <c:val>
            <c:numRef>
              <c:f>'Labor Force'!$C$9:$C$13</c:f>
              <c:numCache>
                <c:formatCode>"$"#,##0_);[Red]\("$"#,##0\)</c:formatCode>
                <c:ptCount val="5"/>
                <c:pt idx="0">
                  <c:v>69277</c:v>
                </c:pt>
                <c:pt idx="1">
                  <c:v>47379</c:v>
                </c:pt>
                <c:pt idx="2">
                  <c:v>42482</c:v>
                </c:pt>
                <c:pt idx="3">
                  <c:v>79959</c:v>
                </c:pt>
                <c:pt idx="4">
                  <c:v>63917</c:v>
                </c:pt>
              </c:numCache>
            </c:numRef>
          </c:val>
          <c:extLst>
            <c:ext xmlns:c16="http://schemas.microsoft.com/office/drawing/2014/chart" uri="{C3380CC4-5D6E-409C-BE32-E72D297353CC}">
              <c16:uniqueId val="{00000000-ED16-4A00-B92D-306CA481D18D}"/>
            </c:ext>
          </c:extLst>
        </c:ser>
        <c:ser>
          <c:idx val="1"/>
          <c:order val="1"/>
          <c:tx>
            <c:strRef>
              <c:f>'Labor Force'!$D$8</c:f>
              <c:strCache>
                <c:ptCount val="1"/>
                <c:pt idx="0">
                  <c:v>Median Household Income (2020)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Force'!$B$9:$B$13</c:f>
              <c:strCache>
                <c:ptCount val="5"/>
                <c:pt idx="0">
                  <c:v>Brookhaven</c:v>
                </c:pt>
                <c:pt idx="1">
                  <c:v>Chamblee</c:v>
                </c:pt>
                <c:pt idx="2">
                  <c:v>Doraville</c:v>
                </c:pt>
                <c:pt idx="3">
                  <c:v>Dunwoody</c:v>
                </c:pt>
                <c:pt idx="4">
                  <c:v>Sandy Springs</c:v>
                </c:pt>
              </c:strCache>
            </c:strRef>
          </c:cat>
          <c:val>
            <c:numRef>
              <c:f>'Labor Force'!$D$9:$D$13</c:f>
              <c:numCache>
                <c:formatCode>"$"#,##0_);[Red]\("$"#,##0\)</c:formatCode>
                <c:ptCount val="5"/>
                <c:pt idx="0">
                  <c:v>101607</c:v>
                </c:pt>
                <c:pt idx="1">
                  <c:v>66607</c:v>
                </c:pt>
                <c:pt idx="2">
                  <c:v>61007</c:v>
                </c:pt>
                <c:pt idx="3">
                  <c:v>96470</c:v>
                </c:pt>
                <c:pt idx="4">
                  <c:v>80998</c:v>
                </c:pt>
              </c:numCache>
            </c:numRef>
          </c:val>
          <c:extLst>
            <c:ext xmlns:c16="http://schemas.microsoft.com/office/drawing/2014/chart" uri="{C3380CC4-5D6E-409C-BE32-E72D297353CC}">
              <c16:uniqueId val="{00000001-ED16-4A00-B92D-306CA481D18D}"/>
            </c:ext>
          </c:extLst>
        </c:ser>
        <c:ser>
          <c:idx val="2"/>
          <c:order val="2"/>
          <c:tx>
            <c:strRef>
              <c:f>'Labor Force'!$E$8</c:f>
              <c:strCache>
                <c:ptCount val="1"/>
                <c:pt idx="0">
                  <c:v>Median Household Income (2024)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Force'!$B$9:$B$13</c:f>
              <c:strCache>
                <c:ptCount val="5"/>
                <c:pt idx="0">
                  <c:v>Brookhaven</c:v>
                </c:pt>
                <c:pt idx="1">
                  <c:v>Chamblee</c:v>
                </c:pt>
                <c:pt idx="2">
                  <c:v>Doraville</c:v>
                </c:pt>
                <c:pt idx="3">
                  <c:v>Dunwoody</c:v>
                </c:pt>
                <c:pt idx="4">
                  <c:v>Sandy Springs</c:v>
                </c:pt>
              </c:strCache>
            </c:strRef>
          </c:cat>
          <c:val>
            <c:numRef>
              <c:f>'Labor Force'!$E$9:$E$13</c:f>
              <c:numCache>
                <c:formatCode>"$"#,##0_);[Red]\("$"#,##0\)</c:formatCode>
                <c:ptCount val="5"/>
                <c:pt idx="0">
                  <c:v>117663</c:v>
                </c:pt>
                <c:pt idx="1">
                  <c:v>84452</c:v>
                </c:pt>
                <c:pt idx="2">
                  <c:v>67235</c:v>
                </c:pt>
                <c:pt idx="3">
                  <c:v>121903</c:v>
                </c:pt>
                <c:pt idx="4">
                  <c:v>104340</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'Labor Force'!$D$17</c:f>
              <c:strCache>
                <c:ptCount val="1"/>
                <c:pt idx="0">
                  <c:v>&lt;$25,000</c:v>
                </c:pt>
              </c:strCache>
            </c:strRef>
          </c:tx>
          <c:spPr>
            <a:solidFill>
              <a:srgbClr val="8F713D"/>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'Labor Force'!$B$18:$C$36</c:f>
              <c:multiLvlStrCache>
                <c:ptCount val="19"/>
                <c:lvl>
                  <c:pt idx="0">
                    <c:v>Under 25</c:v>
                  </c:pt>
                  <c:pt idx="1">
                    <c:v>25-44</c:v>
                  </c:pt>
                  <c:pt idx="2">
                    <c:v>45-64</c:v>
                  </c:pt>
                  <c:pt idx="3">
                    <c:v>65+</c:v>
                  </c:pt>
                  <c:pt idx="5">
                    <c:v>Under 25</c:v>
                  </c:pt>
                  <c:pt idx="6">
                    <c:v>25-44</c:v>
                  </c:pt>
                  <c:pt idx="7">
                    <c:v>45-64</c:v>
                  </c:pt>
                  <c:pt idx="8">
                    <c:v>65+</c:v>
                  </c:pt>
                  <c:pt idx="10">
                    <c:v>Under 25</c:v>
                  </c:pt>
                  <c:pt idx="11">
                    <c:v>25-44</c:v>
                  </c:pt>
                  <c:pt idx="12">
                    <c:v>45-64</c:v>
                  </c:pt>
                  <c:pt idx="13">
                    <c:v>65+</c:v>
                  </c:pt>
                  <c:pt idx="15">
                    <c:v>Under 25</c:v>
                  </c:pt>
                  <c:pt idx="16">
                    <c:v>25-44</c:v>
                  </c:pt>
                  <c:pt idx="17">
                    <c:v>45-64</c:v>
                  </c:pt>
                  <c:pt idx="18">
                    <c:v>65+</c:v>
                  </c:pt>
                </c:lvl>
                <c:lvl>
                  <c:pt idx="0">
                    <c:v>Chamblee</c:v>
                  </c:pt>
                  <c:pt idx="5">
                    <c:v>DeKalb County</c:v>
                  </c:pt>
                  <c:pt idx="10">
                    <c:v>Atlanta MSA</c:v>
                  </c:pt>
                  <c:pt idx="15">
                    <c:v>Georgia</c:v>
                  </c:pt>
                </c:lvl>
              </c:multiLvlStrCache>
            </c:multiLvlStrRef>
          </c:cat>
          <c:val>
            <c:numRef>
              <c:f>'Labor Force'!$D$18:$D$36</c:f>
              <c:numCache>
                <c:formatCode>0.0%</c:formatCode>
                <c:ptCount val="19"/>
                <c:pt idx="0">
                  <c:v>0.216</c:v>
                </c:pt>
                <c:pt idx="1">
                  <c:v>8.7999999999999995E-2</c:v>
                </c:pt>
                <c:pt idx="2">
                  <c:v>0.17199999999999999</c:v>
                </c:pt>
                <c:pt idx="3">
                  <c:v>0.30499999999999999</c:v>
                </c:pt>
                <c:pt idx="5">
                  <c:v>0.28799999999999998</c:v>
                </c:pt>
                <c:pt idx="6">
                  <c:v>0.109</c:v>
                </c:pt>
                <c:pt idx="7">
                  <c:v>0.11799999999999999</c:v>
                </c:pt>
                <c:pt idx="8">
                  <c:v>0.217</c:v>
                </c:pt>
                <c:pt idx="10">
                  <c:v>0.251</c:v>
                </c:pt>
                <c:pt idx="11">
                  <c:v>9.0999999999999998E-2</c:v>
                </c:pt>
                <c:pt idx="12">
                  <c:v>9.5000000000000001E-2</c:v>
                </c:pt>
                <c:pt idx="13">
                  <c:v>0.19600000000000001</c:v>
                </c:pt>
                <c:pt idx="15">
                  <c:v>0.29099999999999998</c:v>
                </c:pt>
                <c:pt idx="16">
                  <c:v>0.115</c:v>
                </c:pt>
                <c:pt idx="17">
                  <c:v>0.125</c:v>
                </c:pt>
                <c:pt idx="18">
                  <c:v>0.23</c:v>
                </c:pt>
              </c:numCache>
            </c:numRef>
          </c:val>
          <c:extLst>
            <c:ext xmlns:c16="http://schemas.microsoft.com/office/drawing/2014/chart" uri="{C3380CC4-5D6E-409C-BE32-E72D297353CC}">
              <c16:uniqueId val="{00000000-A88B-4E29-8516-427C720A98D9}"/>
            </c:ext>
          </c:extLst>
        </c:ser>
        <c:ser>
          <c:idx val="1"/>
          <c:order val="1"/>
          <c:tx>
            <c:strRef>
              <c:f>'Labor Force'!$E$17</c:f>
              <c:strCache>
                <c:ptCount val="1"/>
                <c:pt idx="0">
                  <c:v>$25,000-$49,999</c:v>
                </c:pt>
              </c:strCache>
            </c:strRef>
          </c:tx>
          <c:spPr>
            <a:solidFill>
              <a:srgbClr val="F3EDC9"/>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'Labor Force'!$B$18:$C$36</c:f>
              <c:multiLvlStrCache>
                <c:ptCount val="19"/>
                <c:lvl>
                  <c:pt idx="0">
                    <c:v>Under 25</c:v>
                  </c:pt>
                  <c:pt idx="1">
                    <c:v>25-44</c:v>
                  </c:pt>
                  <c:pt idx="2">
                    <c:v>45-64</c:v>
                  </c:pt>
                  <c:pt idx="3">
                    <c:v>65+</c:v>
                  </c:pt>
                  <c:pt idx="5">
                    <c:v>Under 25</c:v>
                  </c:pt>
                  <c:pt idx="6">
                    <c:v>25-44</c:v>
                  </c:pt>
                  <c:pt idx="7">
                    <c:v>45-64</c:v>
                  </c:pt>
                  <c:pt idx="8">
                    <c:v>65+</c:v>
                  </c:pt>
                  <c:pt idx="10">
                    <c:v>Under 25</c:v>
                  </c:pt>
                  <c:pt idx="11">
                    <c:v>25-44</c:v>
                  </c:pt>
                  <c:pt idx="12">
                    <c:v>45-64</c:v>
                  </c:pt>
                  <c:pt idx="13">
                    <c:v>65+</c:v>
                  </c:pt>
                  <c:pt idx="15">
                    <c:v>Under 25</c:v>
                  </c:pt>
                  <c:pt idx="16">
                    <c:v>25-44</c:v>
                  </c:pt>
                  <c:pt idx="17">
                    <c:v>45-64</c:v>
                  </c:pt>
                  <c:pt idx="18">
                    <c:v>65+</c:v>
                  </c:pt>
                </c:lvl>
                <c:lvl>
                  <c:pt idx="0">
                    <c:v>Chamblee</c:v>
                  </c:pt>
                  <c:pt idx="5">
                    <c:v>DeKalb County</c:v>
                  </c:pt>
                  <c:pt idx="10">
                    <c:v>Atlanta MSA</c:v>
                  </c:pt>
                  <c:pt idx="15">
                    <c:v>Georgia</c:v>
                  </c:pt>
                </c:lvl>
              </c:multiLvlStrCache>
            </c:multiLvlStrRef>
          </c:cat>
          <c:val>
            <c:numRef>
              <c:f>'Labor Force'!$E$18:$E$36</c:f>
              <c:numCache>
                <c:formatCode>0.0%</c:formatCode>
                <c:ptCount val="19"/>
                <c:pt idx="0">
                  <c:v>0.20899999999999999</c:v>
                </c:pt>
                <c:pt idx="1">
                  <c:v>0.193</c:v>
                </c:pt>
                <c:pt idx="2">
                  <c:v>5.7000000000000002E-2</c:v>
                </c:pt>
                <c:pt idx="3">
                  <c:v>0.29699999999999999</c:v>
                </c:pt>
                <c:pt idx="5">
                  <c:v>0.30399999999999999</c:v>
                </c:pt>
                <c:pt idx="6">
                  <c:v>0.16200000000000001</c:v>
                </c:pt>
                <c:pt idx="7">
                  <c:v>0.13500000000000001</c:v>
                </c:pt>
                <c:pt idx="8">
                  <c:v>0.223</c:v>
                </c:pt>
                <c:pt idx="10">
                  <c:v>0.25600000000000001</c:v>
                </c:pt>
                <c:pt idx="11">
                  <c:v>0.14000000000000001</c:v>
                </c:pt>
                <c:pt idx="12">
                  <c:v>0.113</c:v>
                </c:pt>
                <c:pt idx="13">
                  <c:v>0.22</c:v>
                </c:pt>
                <c:pt idx="15">
                  <c:v>0.28100000000000003</c:v>
                </c:pt>
                <c:pt idx="16">
                  <c:v>0.16500000000000001</c:v>
                </c:pt>
                <c:pt idx="17">
                  <c:v>0.13500000000000001</c:v>
                </c:pt>
                <c:pt idx="18">
                  <c:v>0.23300000000000001</c:v>
                </c:pt>
              </c:numCache>
            </c:numRef>
          </c:val>
          <c:extLst>
            <c:ext xmlns:c16="http://schemas.microsoft.com/office/drawing/2014/chart" uri="{C3380CC4-5D6E-409C-BE32-E72D297353CC}">
              <c16:uniqueId val="{00000001-A88B-4E29-8516-427C720A98D9}"/>
            </c:ext>
          </c:extLst>
        </c:ser>
        <c:ser>
          <c:idx val="2"/>
          <c:order val="2"/>
          <c:tx>
            <c:strRef>
              <c:f>'Labor Force'!$F$17</c:f>
              <c:strCache>
                <c:ptCount val="1"/>
                <c:pt idx="0">
                  <c:v>$50,000-$74,999</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'Labor Force'!$B$18:$C$36</c:f>
              <c:multiLvlStrCache>
                <c:ptCount val="19"/>
                <c:lvl>
                  <c:pt idx="0">
                    <c:v>Under 25</c:v>
                  </c:pt>
                  <c:pt idx="1">
                    <c:v>25-44</c:v>
                  </c:pt>
                  <c:pt idx="2">
                    <c:v>45-64</c:v>
                  </c:pt>
                  <c:pt idx="3">
                    <c:v>65+</c:v>
                  </c:pt>
                  <c:pt idx="5">
                    <c:v>Under 25</c:v>
                  </c:pt>
                  <c:pt idx="6">
                    <c:v>25-44</c:v>
                  </c:pt>
                  <c:pt idx="7">
                    <c:v>45-64</c:v>
                  </c:pt>
                  <c:pt idx="8">
                    <c:v>65+</c:v>
                  </c:pt>
                  <c:pt idx="10">
                    <c:v>Under 25</c:v>
                  </c:pt>
                  <c:pt idx="11">
                    <c:v>25-44</c:v>
                  </c:pt>
                  <c:pt idx="12">
                    <c:v>45-64</c:v>
                  </c:pt>
                  <c:pt idx="13">
                    <c:v>65+</c:v>
                  </c:pt>
                  <c:pt idx="15">
                    <c:v>Under 25</c:v>
                  </c:pt>
                  <c:pt idx="16">
                    <c:v>25-44</c:v>
                  </c:pt>
                  <c:pt idx="17">
                    <c:v>45-64</c:v>
                  </c:pt>
                  <c:pt idx="18">
                    <c:v>65+</c:v>
                  </c:pt>
                </c:lvl>
                <c:lvl>
                  <c:pt idx="0">
                    <c:v>Chamblee</c:v>
                  </c:pt>
                  <c:pt idx="5">
                    <c:v>DeKalb County</c:v>
                  </c:pt>
                  <c:pt idx="10">
                    <c:v>Atlanta MSA</c:v>
                  </c:pt>
                  <c:pt idx="15">
                    <c:v>Georgia</c:v>
                  </c:pt>
                </c:lvl>
              </c:multiLvlStrCache>
            </c:multiLvlStrRef>
          </c:cat>
          <c:val>
            <c:numRef>
              <c:f>'Labor Force'!$F$18:$F$36</c:f>
              <c:numCache>
                <c:formatCode>0.0%</c:formatCode>
                <c:ptCount val="19"/>
                <c:pt idx="0">
                  <c:v>0.23300000000000001</c:v>
                </c:pt>
                <c:pt idx="1">
                  <c:v>0.127</c:v>
                </c:pt>
                <c:pt idx="2">
                  <c:v>0.16600000000000001</c:v>
                </c:pt>
                <c:pt idx="3">
                  <c:v>9.2999999999999999E-2</c:v>
                </c:pt>
                <c:pt idx="5">
                  <c:v>0.16500000000000001</c:v>
                </c:pt>
                <c:pt idx="6">
                  <c:v>0.16900000000000001</c:v>
                </c:pt>
                <c:pt idx="7">
                  <c:v>0.14899999999999999</c:v>
                </c:pt>
                <c:pt idx="8">
                  <c:v>0.15</c:v>
                </c:pt>
                <c:pt idx="10">
                  <c:v>0.20599999999999999</c:v>
                </c:pt>
                <c:pt idx="11">
                  <c:v>0.157</c:v>
                </c:pt>
                <c:pt idx="12">
                  <c:v>0.13100000000000001</c:v>
                </c:pt>
                <c:pt idx="13">
                  <c:v>0.16300000000000001</c:v>
                </c:pt>
                <c:pt idx="15">
                  <c:v>0.19500000000000001</c:v>
                </c:pt>
                <c:pt idx="16">
                  <c:v>0.17</c:v>
                </c:pt>
                <c:pt idx="17">
                  <c:v>0.14099999999999999</c:v>
                </c:pt>
                <c:pt idx="18">
                  <c:v>0.16400000000000001</c:v>
                </c:pt>
              </c:numCache>
            </c:numRef>
          </c:val>
          <c:extLst>
            <c:ext xmlns:c16="http://schemas.microsoft.com/office/drawing/2014/chart" uri="{C3380CC4-5D6E-409C-BE32-E72D297353CC}">
              <c16:uniqueId val="{00000002-A88B-4E29-8516-427C720A98D9}"/>
            </c:ext>
          </c:extLst>
        </c:ser>
        <c:ser>
          <c:idx val="3"/>
          <c:order val="3"/>
          <c:tx>
            <c:strRef>
              <c:f>'Labor Force'!$G$17</c:f>
              <c:strCache>
                <c:ptCount val="1"/>
                <c:pt idx="0">
                  <c:v>$75,000-$99,999</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'Labor Force'!$B$18:$C$36</c:f>
              <c:multiLvlStrCache>
                <c:ptCount val="19"/>
                <c:lvl>
                  <c:pt idx="0">
                    <c:v>Under 25</c:v>
                  </c:pt>
                  <c:pt idx="1">
                    <c:v>25-44</c:v>
                  </c:pt>
                  <c:pt idx="2">
                    <c:v>45-64</c:v>
                  </c:pt>
                  <c:pt idx="3">
                    <c:v>65+</c:v>
                  </c:pt>
                  <c:pt idx="5">
                    <c:v>Under 25</c:v>
                  </c:pt>
                  <c:pt idx="6">
                    <c:v>25-44</c:v>
                  </c:pt>
                  <c:pt idx="7">
                    <c:v>45-64</c:v>
                  </c:pt>
                  <c:pt idx="8">
                    <c:v>65+</c:v>
                  </c:pt>
                  <c:pt idx="10">
                    <c:v>Under 25</c:v>
                  </c:pt>
                  <c:pt idx="11">
                    <c:v>25-44</c:v>
                  </c:pt>
                  <c:pt idx="12">
                    <c:v>45-64</c:v>
                  </c:pt>
                  <c:pt idx="13">
                    <c:v>65+</c:v>
                  </c:pt>
                  <c:pt idx="15">
                    <c:v>Under 25</c:v>
                  </c:pt>
                  <c:pt idx="16">
                    <c:v>25-44</c:v>
                  </c:pt>
                  <c:pt idx="17">
                    <c:v>45-64</c:v>
                  </c:pt>
                  <c:pt idx="18">
                    <c:v>65+</c:v>
                  </c:pt>
                </c:lvl>
                <c:lvl>
                  <c:pt idx="0">
                    <c:v>Chamblee</c:v>
                  </c:pt>
                  <c:pt idx="5">
                    <c:v>DeKalb County</c:v>
                  </c:pt>
                  <c:pt idx="10">
                    <c:v>Atlanta MSA</c:v>
                  </c:pt>
                  <c:pt idx="15">
                    <c:v>Georgia</c:v>
                  </c:pt>
                </c:lvl>
              </c:multiLvlStrCache>
            </c:multiLvlStrRef>
          </c:cat>
          <c:val>
            <c:numRef>
              <c:f>'Labor Force'!$G$18:$G$36</c:f>
              <c:numCache>
                <c:formatCode>0.0%</c:formatCode>
                <c:ptCount val="19"/>
                <c:pt idx="0">
                  <c:v>0.126</c:v>
                </c:pt>
                <c:pt idx="1">
                  <c:v>0.157</c:v>
                </c:pt>
                <c:pt idx="2">
                  <c:v>0.113</c:v>
                </c:pt>
                <c:pt idx="3">
                  <c:v>0.115</c:v>
                </c:pt>
                <c:pt idx="5">
                  <c:v>0.122</c:v>
                </c:pt>
                <c:pt idx="6">
                  <c:v>0.121</c:v>
                </c:pt>
                <c:pt idx="7">
                  <c:v>0.12</c:v>
                </c:pt>
                <c:pt idx="8">
                  <c:v>0.114</c:v>
                </c:pt>
                <c:pt idx="10">
                  <c:v>0.13100000000000001</c:v>
                </c:pt>
                <c:pt idx="11">
                  <c:v>0.14199999999999999</c:v>
                </c:pt>
                <c:pt idx="12">
                  <c:v>0.125</c:v>
                </c:pt>
                <c:pt idx="13">
                  <c:v>0.122</c:v>
                </c:pt>
                <c:pt idx="15">
                  <c:v>0.113</c:v>
                </c:pt>
                <c:pt idx="16">
                  <c:v>0.14399999999999999</c:v>
                </c:pt>
                <c:pt idx="17">
                  <c:v>0.129</c:v>
                </c:pt>
                <c:pt idx="18">
                  <c:v>0.115</c:v>
                </c:pt>
              </c:numCache>
            </c:numRef>
          </c:val>
          <c:extLst>
            <c:ext xmlns:c16="http://schemas.microsoft.com/office/drawing/2014/chart" uri="{C3380CC4-5D6E-409C-BE32-E72D297353CC}">
              <c16:uniqueId val="{00000003-A88B-4E29-8516-427C720A98D9}"/>
            </c:ext>
          </c:extLst>
        </c:ser>
        <c:ser>
          <c:idx val="4"/>
          <c:order val="4"/>
          <c:tx>
            <c:strRef>
              <c:f>'Labor Force'!$H$17</c:f>
              <c:strCache>
                <c:ptCount val="1"/>
                <c:pt idx="0">
                  <c:v>$100,000+</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'Labor Force'!$B$18:$C$36</c:f>
              <c:multiLvlStrCache>
                <c:ptCount val="19"/>
                <c:lvl>
                  <c:pt idx="0">
                    <c:v>Under 25</c:v>
                  </c:pt>
                  <c:pt idx="1">
                    <c:v>25-44</c:v>
                  </c:pt>
                  <c:pt idx="2">
                    <c:v>45-64</c:v>
                  </c:pt>
                  <c:pt idx="3">
                    <c:v>65+</c:v>
                  </c:pt>
                  <c:pt idx="5">
                    <c:v>Under 25</c:v>
                  </c:pt>
                  <c:pt idx="6">
                    <c:v>25-44</c:v>
                  </c:pt>
                  <c:pt idx="7">
                    <c:v>45-64</c:v>
                  </c:pt>
                  <c:pt idx="8">
                    <c:v>65+</c:v>
                  </c:pt>
                  <c:pt idx="10">
                    <c:v>Under 25</c:v>
                  </c:pt>
                  <c:pt idx="11">
                    <c:v>25-44</c:v>
                  </c:pt>
                  <c:pt idx="12">
                    <c:v>45-64</c:v>
                  </c:pt>
                  <c:pt idx="13">
                    <c:v>65+</c:v>
                  </c:pt>
                  <c:pt idx="15">
                    <c:v>Under 25</c:v>
                  </c:pt>
                  <c:pt idx="16">
                    <c:v>25-44</c:v>
                  </c:pt>
                  <c:pt idx="17">
                    <c:v>45-64</c:v>
                  </c:pt>
                  <c:pt idx="18">
                    <c:v>65+</c:v>
                  </c:pt>
                </c:lvl>
                <c:lvl>
                  <c:pt idx="0">
                    <c:v>Chamblee</c:v>
                  </c:pt>
                  <c:pt idx="5">
                    <c:v>DeKalb County</c:v>
                  </c:pt>
                  <c:pt idx="10">
                    <c:v>Atlanta MSA</c:v>
                  </c:pt>
                  <c:pt idx="15">
                    <c:v>Georgia</c:v>
                  </c:pt>
                </c:lvl>
              </c:multiLvlStrCache>
            </c:multiLvlStrRef>
          </c:cat>
          <c:val>
            <c:numRef>
              <c:f>'Labor Force'!$H$18:$H$36</c:f>
              <c:numCache>
                <c:formatCode>0.0%</c:formatCode>
                <c:ptCount val="19"/>
                <c:pt idx="0">
                  <c:v>0.216</c:v>
                </c:pt>
                <c:pt idx="1">
                  <c:v>0.434</c:v>
                </c:pt>
                <c:pt idx="2">
                  <c:v>0.49299999999999999</c:v>
                </c:pt>
                <c:pt idx="3">
                  <c:v>0.19</c:v>
                </c:pt>
                <c:pt idx="5">
                  <c:v>0.12</c:v>
                </c:pt>
                <c:pt idx="6">
                  <c:v>0.438</c:v>
                </c:pt>
                <c:pt idx="7">
                  <c:v>0.47799999999999998</c:v>
                </c:pt>
                <c:pt idx="8">
                  <c:v>0.29499999999999998</c:v>
                </c:pt>
                <c:pt idx="10">
                  <c:v>0.156</c:v>
                </c:pt>
                <c:pt idx="11">
                  <c:v>0.47</c:v>
                </c:pt>
                <c:pt idx="12">
                  <c:v>0.53600000000000003</c:v>
                </c:pt>
                <c:pt idx="13">
                  <c:v>0.29899999999999999</c:v>
                </c:pt>
                <c:pt idx="15">
                  <c:v>0.121</c:v>
                </c:pt>
                <c:pt idx="16">
                  <c:v>0.40699999999999997</c:v>
                </c:pt>
                <c:pt idx="17">
                  <c:v>0.47</c:v>
                </c:pt>
                <c:pt idx="18">
                  <c:v>0.25800000000000001</c:v>
                </c:pt>
              </c:numCache>
            </c:numRef>
          </c:val>
          <c:extLst>
            <c:ext xmlns:c16="http://schemas.microsoft.com/office/drawing/2014/chart" uri="{C3380CC4-5D6E-409C-BE32-E72D297353CC}">
              <c16:uniqueId val="{00000004-A88B-4E29-8516-427C720A98D9}"/>
            </c:ext>
          </c:extLst>
        </c:ser>
        <c:dLbls>
          <c:showLegendKey val="0"/>
          <c:showVal val="0"/>
          <c:showCatName val="0"/>
          <c:showSerName val="0"/>
          <c:showPercent val="0"/>
          <c:showBubbleSize val="0"/>
        </c:dLbls>
        <c:gapWidth val="100"/>
        <c:overlap val="100"/>
        <c:axId val="157990624"/>
        <c:axId val="157987744"/>
      </c:barChart>
      <c:catAx>
        <c:axId val="1579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57987744"/>
        <c:crosses val="autoZero"/>
        <c:auto val="1"/>
        <c:lblAlgn val="ctr"/>
        <c:lblOffset val="100"/>
        <c:noMultiLvlLbl val="0"/>
      </c:catAx>
      <c:valAx>
        <c:axId val="157987744"/>
        <c:scaling>
          <c:orientation val="minMax"/>
          <c:max val="1"/>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57990624"/>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Force'!$C$44</c:f>
              <c:strCache>
                <c:ptCount val="1"/>
                <c:pt idx="0">
                  <c:v>Owner Occupied Income (2015)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Force'!$B$45:$B$48</c:f>
              <c:strCache>
                <c:ptCount val="4"/>
                <c:pt idx="0">
                  <c:v>Chamblee</c:v>
                </c:pt>
                <c:pt idx="1">
                  <c:v>DeKalb County</c:v>
                </c:pt>
                <c:pt idx="2">
                  <c:v>Atlanta MSA</c:v>
                </c:pt>
                <c:pt idx="3">
                  <c:v>Georgia</c:v>
                </c:pt>
              </c:strCache>
            </c:strRef>
          </c:cat>
          <c:val>
            <c:numRef>
              <c:f>'Labor Force'!$C$45:$C$48</c:f>
              <c:numCache>
                <c:formatCode>"$"#,##0_);[Red]\("$"#,##0\)</c:formatCode>
                <c:ptCount val="4"/>
                <c:pt idx="0">
                  <c:v>81950</c:v>
                </c:pt>
                <c:pt idx="1">
                  <c:v>70934</c:v>
                </c:pt>
                <c:pt idx="2">
                  <c:v>73823</c:v>
                </c:pt>
                <c:pt idx="3">
                  <c:v>63965</c:v>
                </c:pt>
              </c:numCache>
            </c:numRef>
          </c:val>
          <c:extLst>
            <c:ext xmlns:c16="http://schemas.microsoft.com/office/drawing/2014/chart" uri="{C3380CC4-5D6E-409C-BE32-E72D297353CC}">
              <c16:uniqueId val="{00000000-ED16-4A00-B92D-306CA481D18D}"/>
            </c:ext>
          </c:extLst>
        </c:ser>
        <c:ser>
          <c:idx val="1"/>
          <c:order val="1"/>
          <c:tx>
            <c:strRef>
              <c:f>'Labor Force'!$D$44</c:f>
              <c:strCache>
                <c:ptCount val="1"/>
                <c:pt idx="0">
                  <c:v>Owner Occupied Income (2020)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Force'!$B$45:$B$48</c:f>
              <c:strCache>
                <c:ptCount val="4"/>
                <c:pt idx="0">
                  <c:v>Chamblee</c:v>
                </c:pt>
                <c:pt idx="1">
                  <c:v>DeKalb County</c:v>
                </c:pt>
                <c:pt idx="2">
                  <c:v>Atlanta MSA</c:v>
                </c:pt>
                <c:pt idx="3">
                  <c:v>Georgia</c:v>
                </c:pt>
              </c:strCache>
            </c:strRef>
          </c:cat>
          <c:val>
            <c:numRef>
              <c:f>'Labor Force'!$D$45:$D$48</c:f>
              <c:numCache>
                <c:formatCode>"$"#,##0_);[Red]\("$"#,##0\)</c:formatCode>
                <c:ptCount val="4"/>
                <c:pt idx="0">
                  <c:v>95517</c:v>
                </c:pt>
                <c:pt idx="1">
                  <c:v>91110</c:v>
                </c:pt>
                <c:pt idx="2">
                  <c:v>89903</c:v>
                </c:pt>
                <c:pt idx="3">
                  <c:v>77223</c:v>
                </c:pt>
              </c:numCache>
            </c:numRef>
          </c:val>
          <c:extLst>
            <c:ext xmlns:c16="http://schemas.microsoft.com/office/drawing/2014/chart" uri="{C3380CC4-5D6E-409C-BE32-E72D297353CC}">
              <c16:uniqueId val="{00000001-ED16-4A00-B92D-306CA481D18D}"/>
            </c:ext>
          </c:extLst>
        </c:ser>
        <c:ser>
          <c:idx val="2"/>
          <c:order val="2"/>
          <c:tx>
            <c:strRef>
              <c:f>'Labor Force'!$E$44</c:f>
              <c:strCache>
                <c:ptCount val="1"/>
                <c:pt idx="0">
                  <c:v>Owner Occupied Income (2024)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Force'!$B$45:$B$48</c:f>
              <c:strCache>
                <c:ptCount val="4"/>
                <c:pt idx="0">
                  <c:v>Chamblee</c:v>
                </c:pt>
                <c:pt idx="1">
                  <c:v>DeKalb County</c:v>
                </c:pt>
                <c:pt idx="2">
                  <c:v>Atlanta MSA</c:v>
                </c:pt>
                <c:pt idx="3">
                  <c:v>Georgia</c:v>
                </c:pt>
              </c:strCache>
            </c:strRef>
          </c:cat>
          <c:val>
            <c:numRef>
              <c:f>'Labor Force'!$E$45:$E$48</c:f>
              <c:numCache>
                <c:formatCode>"$"#,##0_);[Red]\("$"#,##0\)</c:formatCode>
                <c:ptCount val="4"/>
                <c:pt idx="0">
                  <c:v>130000</c:v>
                </c:pt>
                <c:pt idx="1">
                  <c:v>110882</c:v>
                </c:pt>
                <c:pt idx="2">
                  <c:v>111273</c:v>
                </c:pt>
                <c:pt idx="3">
                  <c:v>96363</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Force'!$G$44</c:f>
              <c:strCache>
                <c:ptCount val="1"/>
                <c:pt idx="0">
                  <c:v>Renter Occupied Income (2015)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Force'!$B$45:$B$48</c:f>
              <c:strCache>
                <c:ptCount val="4"/>
                <c:pt idx="0">
                  <c:v>Chamblee</c:v>
                </c:pt>
                <c:pt idx="1">
                  <c:v>DeKalb County</c:v>
                </c:pt>
                <c:pt idx="2">
                  <c:v>Atlanta MSA</c:v>
                </c:pt>
                <c:pt idx="3">
                  <c:v>Georgia</c:v>
                </c:pt>
              </c:strCache>
            </c:strRef>
          </c:cat>
          <c:val>
            <c:numRef>
              <c:f>'Labor Force'!$G$45:$G$48</c:f>
              <c:numCache>
                <c:formatCode>"$"#,##0_);[Red]\("$"#,##0\)</c:formatCode>
                <c:ptCount val="4"/>
                <c:pt idx="0">
                  <c:v>39921</c:v>
                </c:pt>
                <c:pt idx="1">
                  <c:v>35402</c:v>
                </c:pt>
                <c:pt idx="2">
                  <c:v>35957</c:v>
                </c:pt>
                <c:pt idx="3">
                  <c:v>30982</c:v>
                </c:pt>
              </c:numCache>
            </c:numRef>
          </c:val>
          <c:extLst>
            <c:ext xmlns:c16="http://schemas.microsoft.com/office/drawing/2014/chart" uri="{C3380CC4-5D6E-409C-BE32-E72D297353CC}">
              <c16:uniqueId val="{00000000-ED16-4A00-B92D-306CA481D18D}"/>
            </c:ext>
          </c:extLst>
        </c:ser>
        <c:ser>
          <c:idx val="1"/>
          <c:order val="1"/>
          <c:tx>
            <c:strRef>
              <c:f>'Labor Force'!$H$44</c:f>
              <c:strCache>
                <c:ptCount val="1"/>
                <c:pt idx="0">
                  <c:v>Renter Occupied Income (2020)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Force'!$B$45:$B$48</c:f>
              <c:strCache>
                <c:ptCount val="4"/>
                <c:pt idx="0">
                  <c:v>Chamblee</c:v>
                </c:pt>
                <c:pt idx="1">
                  <c:v>DeKalb County</c:v>
                </c:pt>
                <c:pt idx="2">
                  <c:v>Atlanta MSA</c:v>
                </c:pt>
                <c:pt idx="3">
                  <c:v>Georgia</c:v>
                </c:pt>
              </c:strCache>
            </c:strRef>
          </c:cat>
          <c:val>
            <c:numRef>
              <c:f>'Labor Force'!$H$45:$H$48</c:f>
              <c:numCache>
                <c:formatCode>"$"#,##0_);[Red]\("$"#,##0\)</c:formatCode>
                <c:ptCount val="4"/>
                <c:pt idx="0">
                  <c:v>52947</c:v>
                </c:pt>
                <c:pt idx="1">
                  <c:v>44301</c:v>
                </c:pt>
                <c:pt idx="2">
                  <c:v>46330</c:v>
                </c:pt>
                <c:pt idx="3">
                  <c:v>33636</c:v>
                </c:pt>
              </c:numCache>
            </c:numRef>
          </c:val>
          <c:extLst>
            <c:ext xmlns:c16="http://schemas.microsoft.com/office/drawing/2014/chart" uri="{C3380CC4-5D6E-409C-BE32-E72D297353CC}">
              <c16:uniqueId val="{00000001-ED16-4A00-B92D-306CA481D18D}"/>
            </c:ext>
          </c:extLst>
        </c:ser>
        <c:ser>
          <c:idx val="2"/>
          <c:order val="2"/>
          <c:tx>
            <c:strRef>
              <c:f>'Labor Force'!$I$44</c:f>
              <c:strCache>
                <c:ptCount val="1"/>
                <c:pt idx="0">
                  <c:v>Renter Occupied Income (2024)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Force'!$B$45:$B$48</c:f>
              <c:strCache>
                <c:ptCount val="4"/>
                <c:pt idx="0">
                  <c:v>Chamblee</c:v>
                </c:pt>
                <c:pt idx="1">
                  <c:v>DeKalb County</c:v>
                </c:pt>
                <c:pt idx="2">
                  <c:v>Atlanta MSA</c:v>
                </c:pt>
                <c:pt idx="3">
                  <c:v>Georgia</c:v>
                </c:pt>
              </c:strCache>
            </c:strRef>
          </c:cat>
          <c:val>
            <c:numRef>
              <c:f>'Labor Force'!$I$45:$I$48</c:f>
              <c:numCache>
                <c:formatCode>"$"#,##0_);[Red]\("$"#,##0\)</c:formatCode>
                <c:ptCount val="4"/>
                <c:pt idx="0">
                  <c:v>61141</c:v>
                </c:pt>
                <c:pt idx="1">
                  <c:v>54357</c:v>
                </c:pt>
                <c:pt idx="2">
                  <c:v>58686</c:v>
                </c:pt>
                <c:pt idx="3">
                  <c:v>49820</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Force'!$C$50</c:f>
              <c:strCache>
                <c:ptCount val="1"/>
                <c:pt idx="0">
                  <c:v>Owner Occupied Income (2015)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Force'!$B$51:$B$55</c:f>
              <c:strCache>
                <c:ptCount val="5"/>
                <c:pt idx="0">
                  <c:v>Brookhaven</c:v>
                </c:pt>
                <c:pt idx="1">
                  <c:v>Chamblee</c:v>
                </c:pt>
                <c:pt idx="2">
                  <c:v>Doraville</c:v>
                </c:pt>
                <c:pt idx="3">
                  <c:v>Dunwoody</c:v>
                </c:pt>
                <c:pt idx="4">
                  <c:v>Sandy Springs</c:v>
                </c:pt>
              </c:strCache>
            </c:strRef>
          </c:cat>
          <c:val>
            <c:numRef>
              <c:f>'Labor Force'!$C$51:$C$55</c:f>
              <c:numCache>
                <c:formatCode>"$"#,##0_);[Red]\("$"#,##0\)</c:formatCode>
                <c:ptCount val="5"/>
                <c:pt idx="0">
                  <c:v>112962</c:v>
                </c:pt>
                <c:pt idx="1">
                  <c:v>81950</c:v>
                </c:pt>
                <c:pt idx="2">
                  <c:v>46166</c:v>
                </c:pt>
                <c:pt idx="3">
                  <c:v>107480</c:v>
                </c:pt>
                <c:pt idx="4">
                  <c:v>122231</c:v>
                </c:pt>
              </c:numCache>
            </c:numRef>
          </c:val>
          <c:extLst>
            <c:ext xmlns:c16="http://schemas.microsoft.com/office/drawing/2014/chart" uri="{C3380CC4-5D6E-409C-BE32-E72D297353CC}">
              <c16:uniqueId val="{00000000-ED16-4A00-B92D-306CA481D18D}"/>
            </c:ext>
          </c:extLst>
        </c:ser>
        <c:ser>
          <c:idx val="1"/>
          <c:order val="1"/>
          <c:tx>
            <c:strRef>
              <c:f>'Labor Force'!$D$50</c:f>
              <c:strCache>
                <c:ptCount val="1"/>
                <c:pt idx="0">
                  <c:v>Owner Occupied Income (2020)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Force'!$B$51:$B$55</c:f>
              <c:strCache>
                <c:ptCount val="5"/>
                <c:pt idx="0">
                  <c:v>Brookhaven</c:v>
                </c:pt>
                <c:pt idx="1">
                  <c:v>Chamblee</c:v>
                </c:pt>
                <c:pt idx="2">
                  <c:v>Doraville</c:v>
                </c:pt>
                <c:pt idx="3">
                  <c:v>Dunwoody</c:v>
                </c:pt>
                <c:pt idx="4">
                  <c:v>Sandy Springs</c:v>
                </c:pt>
              </c:strCache>
            </c:strRef>
          </c:cat>
          <c:val>
            <c:numRef>
              <c:f>'Labor Force'!$D$51:$D$55</c:f>
              <c:numCache>
                <c:formatCode>"$"#,##0_);[Red]\("$"#,##0\)</c:formatCode>
                <c:ptCount val="5"/>
                <c:pt idx="0">
                  <c:v>163218</c:v>
                </c:pt>
                <c:pt idx="1">
                  <c:v>95517</c:v>
                </c:pt>
                <c:pt idx="2">
                  <c:v>70593</c:v>
                </c:pt>
                <c:pt idx="3">
                  <c:v>144231</c:v>
                </c:pt>
                <c:pt idx="4">
                  <c:v>183203</c:v>
                </c:pt>
              </c:numCache>
            </c:numRef>
          </c:val>
          <c:extLst>
            <c:ext xmlns:c16="http://schemas.microsoft.com/office/drawing/2014/chart" uri="{C3380CC4-5D6E-409C-BE32-E72D297353CC}">
              <c16:uniqueId val="{00000001-ED16-4A00-B92D-306CA481D18D}"/>
            </c:ext>
          </c:extLst>
        </c:ser>
        <c:ser>
          <c:idx val="2"/>
          <c:order val="2"/>
          <c:tx>
            <c:strRef>
              <c:f>'Labor Force'!$E$50</c:f>
              <c:strCache>
                <c:ptCount val="1"/>
                <c:pt idx="0">
                  <c:v>Owner Occupied Income (2024)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Force'!$B$51:$B$55</c:f>
              <c:strCache>
                <c:ptCount val="5"/>
                <c:pt idx="0">
                  <c:v>Brookhaven</c:v>
                </c:pt>
                <c:pt idx="1">
                  <c:v>Chamblee</c:v>
                </c:pt>
                <c:pt idx="2">
                  <c:v>Doraville</c:v>
                </c:pt>
                <c:pt idx="3">
                  <c:v>Dunwoody</c:v>
                </c:pt>
                <c:pt idx="4">
                  <c:v>Sandy Springs</c:v>
                </c:pt>
              </c:strCache>
            </c:strRef>
          </c:cat>
          <c:val>
            <c:numRef>
              <c:f>'Labor Force'!$E$51:$E$55</c:f>
              <c:numCache>
                <c:formatCode>"$"#,##0_);[Red]\("$"#,##0\)</c:formatCode>
                <c:ptCount val="5"/>
                <c:pt idx="0">
                  <c:v>202058</c:v>
                </c:pt>
                <c:pt idx="1">
                  <c:v>130000</c:v>
                </c:pt>
                <c:pt idx="2">
                  <c:v>93728</c:v>
                </c:pt>
                <c:pt idx="3">
                  <c:v>193419</c:v>
                </c:pt>
                <c:pt idx="4">
                  <c:v>158494</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Force'!$G$50</c:f>
              <c:strCache>
                <c:ptCount val="1"/>
                <c:pt idx="0">
                  <c:v>Renter Occupied Income (2015)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Force'!$B$51:$B$55</c:f>
              <c:strCache>
                <c:ptCount val="5"/>
                <c:pt idx="0">
                  <c:v>Brookhaven</c:v>
                </c:pt>
                <c:pt idx="1">
                  <c:v>Chamblee</c:v>
                </c:pt>
                <c:pt idx="2">
                  <c:v>Doraville</c:v>
                </c:pt>
                <c:pt idx="3">
                  <c:v>Dunwoody</c:v>
                </c:pt>
                <c:pt idx="4">
                  <c:v>Sandy Springs</c:v>
                </c:pt>
              </c:strCache>
            </c:strRef>
          </c:cat>
          <c:val>
            <c:numRef>
              <c:f>'Labor Force'!$G$51:$G$55</c:f>
              <c:numCache>
                <c:formatCode>"$"#,##0_);[Red]\("$"#,##0\)</c:formatCode>
                <c:ptCount val="5"/>
                <c:pt idx="0">
                  <c:v>46911</c:v>
                </c:pt>
                <c:pt idx="1">
                  <c:v>39921</c:v>
                </c:pt>
                <c:pt idx="2">
                  <c:v>40891</c:v>
                </c:pt>
                <c:pt idx="3">
                  <c:v>57740</c:v>
                </c:pt>
                <c:pt idx="4">
                  <c:v>42365</c:v>
                </c:pt>
              </c:numCache>
            </c:numRef>
          </c:val>
          <c:extLst>
            <c:ext xmlns:c16="http://schemas.microsoft.com/office/drawing/2014/chart" uri="{C3380CC4-5D6E-409C-BE32-E72D297353CC}">
              <c16:uniqueId val="{00000000-ED16-4A00-B92D-306CA481D18D}"/>
            </c:ext>
          </c:extLst>
        </c:ser>
        <c:ser>
          <c:idx val="1"/>
          <c:order val="1"/>
          <c:tx>
            <c:strRef>
              <c:f>'Labor Force'!$H$50</c:f>
              <c:strCache>
                <c:ptCount val="1"/>
                <c:pt idx="0">
                  <c:v>Renter Occupied Income (2020)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Force'!$B$51:$B$55</c:f>
              <c:strCache>
                <c:ptCount val="5"/>
                <c:pt idx="0">
                  <c:v>Brookhaven</c:v>
                </c:pt>
                <c:pt idx="1">
                  <c:v>Chamblee</c:v>
                </c:pt>
                <c:pt idx="2">
                  <c:v>Doraville</c:v>
                </c:pt>
                <c:pt idx="3">
                  <c:v>Dunwoody</c:v>
                </c:pt>
                <c:pt idx="4">
                  <c:v>Sandy Springs</c:v>
                </c:pt>
              </c:strCache>
            </c:strRef>
          </c:cat>
          <c:val>
            <c:numRef>
              <c:f>'Labor Force'!$H$51:$H$55</c:f>
              <c:numCache>
                <c:formatCode>"$"#,##0_);[Red]\("$"#,##0\)</c:formatCode>
                <c:ptCount val="5"/>
                <c:pt idx="0">
                  <c:v>59382</c:v>
                </c:pt>
                <c:pt idx="1">
                  <c:v>52947</c:v>
                </c:pt>
                <c:pt idx="2">
                  <c:v>45906</c:v>
                </c:pt>
                <c:pt idx="3">
                  <c:v>69380</c:v>
                </c:pt>
                <c:pt idx="4">
                  <c:v>63486</c:v>
                </c:pt>
              </c:numCache>
            </c:numRef>
          </c:val>
          <c:extLst>
            <c:ext xmlns:c16="http://schemas.microsoft.com/office/drawing/2014/chart" uri="{C3380CC4-5D6E-409C-BE32-E72D297353CC}">
              <c16:uniqueId val="{00000001-ED16-4A00-B92D-306CA481D18D}"/>
            </c:ext>
          </c:extLst>
        </c:ser>
        <c:ser>
          <c:idx val="2"/>
          <c:order val="2"/>
          <c:tx>
            <c:strRef>
              <c:f>'Labor Force'!$I$50</c:f>
              <c:strCache>
                <c:ptCount val="1"/>
                <c:pt idx="0">
                  <c:v>Renter Occupied Income (2024)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Force'!$B$51:$B$55</c:f>
              <c:strCache>
                <c:ptCount val="5"/>
                <c:pt idx="0">
                  <c:v>Brookhaven</c:v>
                </c:pt>
                <c:pt idx="1">
                  <c:v>Chamblee</c:v>
                </c:pt>
                <c:pt idx="2">
                  <c:v>Doraville</c:v>
                </c:pt>
                <c:pt idx="3">
                  <c:v>Dunwoody</c:v>
                </c:pt>
                <c:pt idx="4">
                  <c:v>Sandy Springs</c:v>
                </c:pt>
              </c:strCache>
            </c:strRef>
          </c:cat>
          <c:val>
            <c:numRef>
              <c:f>'Labor Force'!$I$51:$I$55</c:f>
              <c:numCache>
                <c:formatCode>"$"#,##0_);[Red]\("$"#,##0\)</c:formatCode>
                <c:ptCount val="5"/>
                <c:pt idx="0">
                  <c:v>70512</c:v>
                </c:pt>
                <c:pt idx="1">
                  <c:v>61141</c:v>
                </c:pt>
                <c:pt idx="2">
                  <c:v>48042</c:v>
                </c:pt>
                <c:pt idx="3">
                  <c:v>73618</c:v>
                </c:pt>
                <c:pt idx="4">
                  <c:v>79542</c:v>
                </c:pt>
              </c:numCache>
            </c:numRef>
          </c:val>
          <c:extLst>
            <c:ext xmlns:c16="http://schemas.microsoft.com/office/drawing/2014/chart" uri="{C3380CC4-5D6E-409C-BE32-E72D297353CC}">
              <c16:uniqueId val="{00000002-ED16-4A00-B92D-306CA481D18D}"/>
            </c:ext>
          </c:extLst>
        </c:ser>
        <c:dLbls>
          <c:showLegendKey val="0"/>
          <c:showVal val="0"/>
          <c:showCatName val="0"/>
          <c:showSerName val="0"/>
          <c:showPercent val="0"/>
          <c:showBubbleSize val="0"/>
        </c:dLbls>
        <c:gapWidth val="100"/>
        <c:overlap val="-27"/>
        <c:axId val="16237216"/>
        <c:axId val="11586416"/>
      </c:barChart>
      <c:catAx>
        <c:axId val="162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1586416"/>
        <c:crosses val="autoZero"/>
        <c:auto val="1"/>
        <c:lblAlgn val="ctr"/>
        <c:lblOffset val="100"/>
        <c:noMultiLvlLbl val="0"/>
      </c:catAx>
      <c:valAx>
        <c:axId val="1158641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6237216"/>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'Labor Force'!$C$65</c:f>
              <c:strCache>
                <c:ptCount val="1"/>
                <c:pt idx="0">
                  <c:v>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Force'!$B$66:$B$69</c:f>
              <c:strCache>
                <c:ptCount val="4"/>
                <c:pt idx="0">
                  <c:v>Chamblee</c:v>
                </c:pt>
                <c:pt idx="1">
                  <c:v>DeKalb County</c:v>
                </c:pt>
                <c:pt idx="2">
                  <c:v>Atlanta MSA</c:v>
                </c:pt>
                <c:pt idx="3">
                  <c:v>Georgia</c:v>
                </c:pt>
              </c:strCache>
            </c:strRef>
          </c:cat>
          <c:val>
            <c:numRef>
              <c:f>'Labor Force'!$C$66:$C$69</c:f>
              <c:numCache>
                <c:formatCode>0.0%</c:formatCode>
                <c:ptCount val="4"/>
                <c:pt idx="0">
                  <c:v>0.06</c:v>
                </c:pt>
                <c:pt idx="1">
                  <c:v>0.111</c:v>
                </c:pt>
                <c:pt idx="2">
                  <c:v>9.5000000000000001E-2</c:v>
                </c:pt>
                <c:pt idx="3">
                  <c:v>9.7000000000000003E-2</c:v>
                </c:pt>
              </c:numCache>
            </c:numRef>
          </c:val>
          <c:extLst>
            <c:ext xmlns:c16="http://schemas.microsoft.com/office/drawing/2014/chart" uri="{C3380CC4-5D6E-409C-BE32-E72D297353CC}">
              <c16:uniqueId val="{00000000-7F1A-4E8C-BE12-879E20711F85}"/>
            </c:ext>
          </c:extLst>
        </c:ser>
        <c:ser>
          <c:idx val="1"/>
          <c:order val="1"/>
          <c:tx>
            <c:strRef>
              <c:f>'Labor Force'!$D$65</c:f>
              <c:strCache>
                <c:ptCount val="1"/>
                <c:pt idx="0">
                  <c:v>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Force'!$B$66:$B$69</c:f>
              <c:strCache>
                <c:ptCount val="4"/>
                <c:pt idx="0">
                  <c:v>Chamblee</c:v>
                </c:pt>
                <c:pt idx="1">
                  <c:v>DeKalb County</c:v>
                </c:pt>
                <c:pt idx="2">
                  <c:v>Atlanta MSA</c:v>
                </c:pt>
                <c:pt idx="3">
                  <c:v>Georgia</c:v>
                </c:pt>
              </c:strCache>
            </c:strRef>
          </c:cat>
          <c:val>
            <c:numRef>
              <c:f>'Labor Force'!$D$66:$D$69</c:f>
              <c:numCache>
                <c:formatCode>0.0%</c:formatCode>
                <c:ptCount val="4"/>
                <c:pt idx="0">
                  <c:v>3.7999999999999999E-2</c:v>
                </c:pt>
                <c:pt idx="1">
                  <c:v>6.7000000000000004E-2</c:v>
                </c:pt>
                <c:pt idx="2">
                  <c:v>5.1999999999999998E-2</c:v>
                </c:pt>
                <c:pt idx="3">
                  <c:v>5.6000000000000001E-2</c:v>
                </c:pt>
              </c:numCache>
            </c:numRef>
          </c:val>
          <c:extLst>
            <c:ext xmlns:c16="http://schemas.microsoft.com/office/drawing/2014/chart" uri="{C3380CC4-5D6E-409C-BE32-E72D297353CC}">
              <c16:uniqueId val="{00000001-7F1A-4E8C-BE12-879E20711F85}"/>
            </c:ext>
          </c:extLst>
        </c:ser>
        <c:ser>
          <c:idx val="2"/>
          <c:order val="2"/>
          <c:tx>
            <c:strRef>
              <c:f>'Labor Force'!$E$65</c:f>
              <c:strCache>
                <c:ptCount val="1"/>
                <c:pt idx="0">
                  <c:v>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Force'!$B$66:$B$69</c:f>
              <c:strCache>
                <c:ptCount val="4"/>
                <c:pt idx="0">
                  <c:v>Chamblee</c:v>
                </c:pt>
                <c:pt idx="1">
                  <c:v>DeKalb County</c:v>
                </c:pt>
                <c:pt idx="2">
                  <c:v>Atlanta MSA</c:v>
                </c:pt>
                <c:pt idx="3">
                  <c:v>Georgia</c:v>
                </c:pt>
              </c:strCache>
            </c:strRef>
          </c:cat>
          <c:val>
            <c:numRef>
              <c:f>'Labor Force'!$E$66:$E$69</c:f>
              <c:numCache>
                <c:formatCode>0.0%</c:formatCode>
                <c:ptCount val="4"/>
                <c:pt idx="0">
                  <c:v>2.1999999999999999E-2</c:v>
                </c:pt>
                <c:pt idx="1">
                  <c:v>6.4000000000000001E-2</c:v>
                </c:pt>
                <c:pt idx="2">
                  <c:v>0.05</c:v>
                </c:pt>
                <c:pt idx="3">
                  <c:v>5.0999999999999997E-2</c:v>
                </c:pt>
              </c:numCache>
            </c:numRef>
          </c:val>
          <c:extLst>
            <c:ext xmlns:c16="http://schemas.microsoft.com/office/drawing/2014/chart" uri="{C3380CC4-5D6E-409C-BE32-E72D297353CC}">
              <c16:uniqueId val="{00000002-7F1A-4E8C-BE12-879E20711F85}"/>
            </c:ext>
          </c:extLst>
        </c:ser>
        <c:dLbls>
          <c:showLegendKey val="0"/>
          <c:showVal val="0"/>
          <c:showCatName val="0"/>
          <c:showSerName val="0"/>
          <c:showPercent val="0"/>
          <c:showBubbleSize val="0"/>
        </c:dLbls>
        <c:gapWidth val="219"/>
        <c:overlap val="-27"/>
        <c:axId val="1399691904"/>
        <c:axId val="1399692384"/>
      </c:barChart>
      <c:catAx>
        <c:axId val="13996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2384"/>
        <c:crosses val="autoZero"/>
        <c:auto val="1"/>
        <c:lblAlgn val="ctr"/>
        <c:lblOffset val="100"/>
        <c:noMultiLvlLbl val="0"/>
      </c:catAx>
      <c:valAx>
        <c:axId val="139969238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Force'!$C$71</c:f>
              <c:strCache>
                <c:ptCount val="1"/>
                <c:pt idx="0">
                  <c:v>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Force'!$B$72:$B$76</c:f>
              <c:strCache>
                <c:ptCount val="5"/>
                <c:pt idx="0">
                  <c:v>Brookhaven</c:v>
                </c:pt>
                <c:pt idx="1">
                  <c:v>Chamblee</c:v>
                </c:pt>
                <c:pt idx="2">
                  <c:v>Doraville</c:v>
                </c:pt>
                <c:pt idx="3">
                  <c:v>Dunwoody</c:v>
                </c:pt>
                <c:pt idx="4">
                  <c:v>Sandy Springs</c:v>
                </c:pt>
              </c:strCache>
            </c:strRef>
          </c:cat>
          <c:val>
            <c:numRef>
              <c:f>'Labor Force'!$C$72:$C$76</c:f>
              <c:numCache>
                <c:formatCode>0.0%</c:formatCode>
                <c:ptCount val="5"/>
                <c:pt idx="0">
                  <c:v>3.9E-2</c:v>
                </c:pt>
                <c:pt idx="1">
                  <c:v>0.06</c:v>
                </c:pt>
                <c:pt idx="2">
                  <c:v>7.9000000000000001E-2</c:v>
                </c:pt>
                <c:pt idx="3">
                  <c:v>7.0000000000000007E-2</c:v>
                </c:pt>
                <c:pt idx="4">
                  <c:v>6.2E-2</c:v>
                </c:pt>
              </c:numCache>
            </c:numRef>
          </c:val>
          <c:extLst>
            <c:ext xmlns:c16="http://schemas.microsoft.com/office/drawing/2014/chart" uri="{C3380CC4-5D6E-409C-BE32-E72D297353CC}">
              <c16:uniqueId val="{00000000-7F1A-4E8C-BE12-879E20711F85}"/>
            </c:ext>
          </c:extLst>
        </c:ser>
        <c:ser>
          <c:idx val="1"/>
          <c:order val="1"/>
          <c:tx>
            <c:strRef>
              <c:f>'Labor Force'!$D$71</c:f>
              <c:strCache>
                <c:ptCount val="1"/>
                <c:pt idx="0">
                  <c:v>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Force'!$B$72:$B$76</c:f>
              <c:strCache>
                <c:ptCount val="5"/>
                <c:pt idx="0">
                  <c:v>Brookhaven</c:v>
                </c:pt>
                <c:pt idx="1">
                  <c:v>Chamblee</c:v>
                </c:pt>
                <c:pt idx="2">
                  <c:v>Doraville</c:v>
                </c:pt>
                <c:pt idx="3">
                  <c:v>Dunwoody</c:v>
                </c:pt>
                <c:pt idx="4">
                  <c:v>Sandy Springs</c:v>
                </c:pt>
              </c:strCache>
            </c:strRef>
          </c:cat>
          <c:val>
            <c:numRef>
              <c:f>'Labor Force'!$D$72:$D$76</c:f>
              <c:numCache>
                <c:formatCode>0.0%</c:formatCode>
                <c:ptCount val="5"/>
                <c:pt idx="0">
                  <c:v>2.5999999999999999E-2</c:v>
                </c:pt>
                <c:pt idx="1">
                  <c:v>3.7999999999999999E-2</c:v>
                </c:pt>
                <c:pt idx="2">
                  <c:v>2.5999999999999999E-2</c:v>
                </c:pt>
                <c:pt idx="3">
                  <c:v>2.5999999999999999E-2</c:v>
                </c:pt>
                <c:pt idx="4">
                  <c:v>3.5999999999999997E-2</c:v>
                </c:pt>
              </c:numCache>
            </c:numRef>
          </c:val>
          <c:extLst>
            <c:ext xmlns:c16="http://schemas.microsoft.com/office/drawing/2014/chart" uri="{C3380CC4-5D6E-409C-BE32-E72D297353CC}">
              <c16:uniqueId val="{00000001-7F1A-4E8C-BE12-879E20711F85}"/>
            </c:ext>
          </c:extLst>
        </c:ser>
        <c:ser>
          <c:idx val="2"/>
          <c:order val="2"/>
          <c:tx>
            <c:strRef>
              <c:f>'Labor Force'!$E$71</c:f>
              <c:strCache>
                <c:ptCount val="1"/>
                <c:pt idx="0">
                  <c:v>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Force'!$B$72:$B$76</c:f>
              <c:strCache>
                <c:ptCount val="5"/>
                <c:pt idx="0">
                  <c:v>Brookhaven</c:v>
                </c:pt>
                <c:pt idx="1">
                  <c:v>Chamblee</c:v>
                </c:pt>
                <c:pt idx="2">
                  <c:v>Doraville</c:v>
                </c:pt>
                <c:pt idx="3">
                  <c:v>Dunwoody</c:v>
                </c:pt>
                <c:pt idx="4">
                  <c:v>Sandy Springs</c:v>
                </c:pt>
              </c:strCache>
            </c:strRef>
          </c:cat>
          <c:val>
            <c:numRef>
              <c:f>'Labor Force'!$E$72:$E$76</c:f>
              <c:numCache>
                <c:formatCode>0.0%</c:formatCode>
                <c:ptCount val="5"/>
                <c:pt idx="0">
                  <c:v>3.2000000000000001E-2</c:v>
                </c:pt>
                <c:pt idx="1">
                  <c:v>2.1999999999999999E-2</c:v>
                </c:pt>
                <c:pt idx="2">
                  <c:v>1.2E-2</c:v>
                </c:pt>
                <c:pt idx="3">
                  <c:v>1.9E-2</c:v>
                </c:pt>
                <c:pt idx="4">
                  <c:v>0.04</c:v>
                </c:pt>
              </c:numCache>
            </c:numRef>
          </c:val>
          <c:extLst>
            <c:ext xmlns:c16="http://schemas.microsoft.com/office/drawing/2014/chart" uri="{C3380CC4-5D6E-409C-BE32-E72D297353CC}">
              <c16:uniqueId val="{00000002-7F1A-4E8C-BE12-879E20711F85}"/>
            </c:ext>
          </c:extLst>
        </c:ser>
        <c:dLbls>
          <c:showLegendKey val="0"/>
          <c:showVal val="0"/>
          <c:showCatName val="0"/>
          <c:showSerName val="0"/>
          <c:showPercent val="0"/>
          <c:showBubbleSize val="0"/>
        </c:dLbls>
        <c:gapWidth val="219"/>
        <c:overlap val="-27"/>
        <c:axId val="1399691904"/>
        <c:axId val="1399692384"/>
      </c:barChart>
      <c:catAx>
        <c:axId val="13996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2384"/>
        <c:crosses val="autoZero"/>
        <c:auto val="1"/>
        <c:lblAlgn val="ctr"/>
        <c:lblOffset val="100"/>
        <c:noMultiLvlLbl val="0"/>
      </c:catAx>
      <c:valAx>
        <c:axId val="139969238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Force'!$C$81</c:f>
              <c:strCache>
                <c:ptCount val="1"/>
                <c:pt idx="0">
                  <c:v>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Force'!$B$82:$B$85</c:f>
              <c:strCache>
                <c:ptCount val="4"/>
                <c:pt idx="0">
                  <c:v>Chamblee</c:v>
                </c:pt>
                <c:pt idx="1">
                  <c:v>DeKalb County</c:v>
                </c:pt>
                <c:pt idx="2">
                  <c:v>Atlanta MSA</c:v>
                </c:pt>
                <c:pt idx="3">
                  <c:v>Georgia</c:v>
                </c:pt>
              </c:strCache>
            </c:strRef>
          </c:cat>
          <c:val>
            <c:numRef>
              <c:f>'Labor Force'!$C$82:$C$85</c:f>
              <c:numCache>
                <c:formatCode>0.0%</c:formatCode>
                <c:ptCount val="4"/>
                <c:pt idx="0">
                  <c:v>0.77800000000000002</c:v>
                </c:pt>
                <c:pt idx="1">
                  <c:v>0.69099999999999995</c:v>
                </c:pt>
                <c:pt idx="2">
                  <c:v>0.67200000000000004</c:v>
                </c:pt>
                <c:pt idx="3">
                  <c:v>0.63</c:v>
                </c:pt>
              </c:numCache>
            </c:numRef>
          </c:val>
          <c:extLst>
            <c:ext xmlns:c16="http://schemas.microsoft.com/office/drawing/2014/chart" uri="{C3380CC4-5D6E-409C-BE32-E72D297353CC}">
              <c16:uniqueId val="{00000000-7F1A-4E8C-BE12-879E20711F85}"/>
            </c:ext>
          </c:extLst>
        </c:ser>
        <c:ser>
          <c:idx val="1"/>
          <c:order val="1"/>
          <c:tx>
            <c:strRef>
              <c:f>'Labor Force'!$D$81</c:f>
              <c:strCache>
                <c:ptCount val="1"/>
                <c:pt idx="0">
                  <c:v>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Force'!$B$82:$B$85</c:f>
              <c:strCache>
                <c:ptCount val="4"/>
                <c:pt idx="0">
                  <c:v>Chamblee</c:v>
                </c:pt>
                <c:pt idx="1">
                  <c:v>DeKalb County</c:v>
                </c:pt>
                <c:pt idx="2">
                  <c:v>Atlanta MSA</c:v>
                </c:pt>
                <c:pt idx="3">
                  <c:v>Georgia</c:v>
                </c:pt>
              </c:strCache>
            </c:strRef>
          </c:cat>
          <c:val>
            <c:numRef>
              <c:f>'Labor Force'!$D$82:$D$85</c:f>
              <c:numCache>
                <c:formatCode>0.0%</c:formatCode>
                <c:ptCount val="4"/>
                <c:pt idx="0">
                  <c:v>0.76400000000000001</c:v>
                </c:pt>
                <c:pt idx="1">
                  <c:v>0.69</c:v>
                </c:pt>
                <c:pt idx="2">
                  <c:v>0.67100000000000004</c:v>
                </c:pt>
                <c:pt idx="3">
                  <c:v>0.67500000000000004</c:v>
                </c:pt>
              </c:numCache>
            </c:numRef>
          </c:val>
          <c:extLst>
            <c:ext xmlns:c16="http://schemas.microsoft.com/office/drawing/2014/chart" uri="{C3380CC4-5D6E-409C-BE32-E72D297353CC}">
              <c16:uniqueId val="{00000001-7F1A-4E8C-BE12-879E20711F85}"/>
            </c:ext>
          </c:extLst>
        </c:ser>
        <c:ser>
          <c:idx val="2"/>
          <c:order val="2"/>
          <c:tx>
            <c:strRef>
              <c:f>'Labor Force'!$E$81</c:f>
              <c:strCache>
                <c:ptCount val="1"/>
                <c:pt idx="0">
                  <c:v>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Force'!$B$82:$B$85</c:f>
              <c:strCache>
                <c:ptCount val="4"/>
                <c:pt idx="0">
                  <c:v>Chamblee</c:v>
                </c:pt>
                <c:pt idx="1">
                  <c:v>DeKalb County</c:v>
                </c:pt>
                <c:pt idx="2">
                  <c:v>Atlanta MSA</c:v>
                </c:pt>
                <c:pt idx="3">
                  <c:v>Georgia</c:v>
                </c:pt>
              </c:strCache>
            </c:strRef>
          </c:cat>
          <c:val>
            <c:numRef>
              <c:f>'Labor Force'!$E$82:$E$85</c:f>
              <c:numCache>
                <c:formatCode>0.0%</c:formatCode>
                <c:ptCount val="4"/>
                <c:pt idx="0">
                  <c:v>0.755</c:v>
                </c:pt>
                <c:pt idx="1">
                  <c:v>0.68300000000000005</c:v>
                </c:pt>
                <c:pt idx="2">
                  <c:v>0.67500000000000004</c:v>
                </c:pt>
                <c:pt idx="3">
                  <c:v>0.67100000000000004</c:v>
                </c:pt>
              </c:numCache>
            </c:numRef>
          </c:val>
          <c:extLst>
            <c:ext xmlns:c16="http://schemas.microsoft.com/office/drawing/2014/chart" uri="{C3380CC4-5D6E-409C-BE32-E72D297353CC}">
              <c16:uniqueId val="{00000002-7F1A-4E8C-BE12-879E20711F85}"/>
            </c:ext>
          </c:extLst>
        </c:ser>
        <c:dLbls>
          <c:showLegendKey val="0"/>
          <c:showVal val="0"/>
          <c:showCatName val="0"/>
          <c:showSerName val="0"/>
          <c:showPercent val="0"/>
          <c:showBubbleSize val="0"/>
        </c:dLbls>
        <c:gapWidth val="219"/>
        <c:overlap val="-27"/>
        <c:axId val="1399691904"/>
        <c:axId val="1399692384"/>
      </c:barChart>
      <c:catAx>
        <c:axId val="13996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2384"/>
        <c:crosses val="autoZero"/>
        <c:auto val="1"/>
        <c:lblAlgn val="ctr"/>
        <c:lblOffset val="100"/>
        <c:noMultiLvlLbl val="0"/>
      </c:catAx>
      <c:valAx>
        <c:axId val="139969238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'Labor Force'!$C$87</c:f>
              <c:strCache>
                <c:ptCount val="1"/>
                <c:pt idx="0">
                  <c:v>2015</c:v>
                </c:pt>
              </c:strCache>
            </c:strRef>
          </c:tx>
          <c:spPr>
            <a:solidFill>
              <a:srgbClr val="B3A369"/>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Force'!$B$88:$B$92</c:f>
              <c:strCache>
                <c:ptCount val="5"/>
                <c:pt idx="0">
                  <c:v>Brookhaven</c:v>
                </c:pt>
                <c:pt idx="1">
                  <c:v>Chamblee</c:v>
                </c:pt>
                <c:pt idx="2">
                  <c:v>Doraville</c:v>
                </c:pt>
                <c:pt idx="3">
                  <c:v>Dunwoody</c:v>
                </c:pt>
                <c:pt idx="4">
                  <c:v>Sandy Springs</c:v>
                </c:pt>
              </c:strCache>
            </c:strRef>
          </c:cat>
          <c:val>
            <c:numRef>
              <c:f>'Labor Force'!$C$88:$C$92</c:f>
              <c:numCache>
                <c:formatCode>0.0%</c:formatCode>
                <c:ptCount val="5"/>
                <c:pt idx="0">
                  <c:v>0.75700000000000001</c:v>
                </c:pt>
                <c:pt idx="1">
                  <c:v>0.77800000000000002</c:v>
                </c:pt>
                <c:pt idx="2">
                  <c:v>0.76900000000000002</c:v>
                </c:pt>
                <c:pt idx="3">
                  <c:v>0.70799999999999996</c:v>
                </c:pt>
                <c:pt idx="4">
                  <c:v>0.73299999999999998</c:v>
                </c:pt>
              </c:numCache>
            </c:numRef>
          </c:val>
          <c:extLst>
            <c:ext xmlns:c16="http://schemas.microsoft.com/office/drawing/2014/chart" uri="{C3380CC4-5D6E-409C-BE32-E72D297353CC}">
              <c16:uniqueId val="{00000000-7F1A-4E8C-BE12-879E20711F85}"/>
            </c:ext>
          </c:extLst>
        </c:ser>
        <c:ser>
          <c:idx val="1"/>
          <c:order val="1"/>
          <c:tx>
            <c:strRef>
              <c:f>'Labor Force'!$D$87</c:f>
              <c:strCache>
                <c:ptCount val="1"/>
                <c:pt idx="0">
                  <c:v>2020</c:v>
                </c:pt>
              </c:strCache>
            </c:strRef>
          </c:tx>
          <c:spPr>
            <a:solidFill>
              <a:srgbClr val="00305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Force'!$B$88:$B$92</c:f>
              <c:strCache>
                <c:ptCount val="5"/>
                <c:pt idx="0">
                  <c:v>Brookhaven</c:v>
                </c:pt>
                <c:pt idx="1">
                  <c:v>Chamblee</c:v>
                </c:pt>
                <c:pt idx="2">
                  <c:v>Doraville</c:v>
                </c:pt>
                <c:pt idx="3">
                  <c:v>Dunwoody</c:v>
                </c:pt>
                <c:pt idx="4">
                  <c:v>Sandy Springs</c:v>
                </c:pt>
              </c:strCache>
            </c:strRef>
          </c:cat>
          <c:val>
            <c:numRef>
              <c:f>'Labor Force'!$D$88:$D$92</c:f>
              <c:numCache>
                <c:formatCode>0.0%</c:formatCode>
                <c:ptCount val="5"/>
                <c:pt idx="0">
                  <c:v>0.78800000000000003</c:v>
                </c:pt>
                <c:pt idx="1">
                  <c:v>0.76400000000000001</c:v>
                </c:pt>
                <c:pt idx="2">
                  <c:v>0.752</c:v>
                </c:pt>
                <c:pt idx="3">
                  <c:v>0.67900000000000005</c:v>
                </c:pt>
                <c:pt idx="4">
                  <c:v>0.73399999999999999</c:v>
                </c:pt>
              </c:numCache>
            </c:numRef>
          </c:val>
          <c:extLst>
            <c:ext xmlns:c16="http://schemas.microsoft.com/office/drawing/2014/chart" uri="{C3380CC4-5D6E-409C-BE32-E72D297353CC}">
              <c16:uniqueId val="{00000001-7F1A-4E8C-BE12-879E20711F85}"/>
            </c:ext>
          </c:extLst>
        </c:ser>
        <c:ser>
          <c:idx val="2"/>
          <c:order val="2"/>
          <c:tx>
            <c:strRef>
              <c:f>'Labor Force'!$E$87</c:f>
              <c:strCache>
                <c:ptCount val="1"/>
                <c:pt idx="0">
                  <c:v>2024</c:v>
                </c:pt>
              </c:strCache>
            </c:strRef>
          </c:tx>
          <c:spPr>
            <a:solidFill>
              <a:srgbClr val="EAAA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Roboto" panose="020000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'Labor Force'!$B$88:$B$92</c:f>
              <c:strCache>
                <c:ptCount val="5"/>
                <c:pt idx="0">
                  <c:v>Brookhaven</c:v>
                </c:pt>
                <c:pt idx="1">
                  <c:v>Chamblee</c:v>
                </c:pt>
                <c:pt idx="2">
                  <c:v>Doraville</c:v>
                </c:pt>
                <c:pt idx="3">
                  <c:v>Dunwoody</c:v>
                </c:pt>
                <c:pt idx="4">
                  <c:v>Sandy Springs</c:v>
                </c:pt>
              </c:strCache>
            </c:strRef>
          </c:cat>
          <c:val>
            <c:numRef>
              <c:f>'Labor Force'!$E$88:$E$92</c:f>
              <c:numCache>
                <c:formatCode>0.0%</c:formatCode>
                <c:ptCount val="5"/>
                <c:pt idx="0">
                  <c:v>0.76600000000000001</c:v>
                </c:pt>
                <c:pt idx="1">
                  <c:v>0.755</c:v>
                </c:pt>
                <c:pt idx="2">
                  <c:v>0.755</c:v>
                </c:pt>
                <c:pt idx="3">
                  <c:v>0.70899999999999996</c:v>
                </c:pt>
                <c:pt idx="4">
                  <c:v>0.74199999999999999</c:v>
                </c:pt>
              </c:numCache>
            </c:numRef>
          </c:val>
          <c:extLst>
            <c:ext xmlns:c16="http://schemas.microsoft.com/office/drawing/2014/chart" uri="{C3380CC4-5D6E-409C-BE32-E72D297353CC}">
              <c16:uniqueId val="{00000002-7F1A-4E8C-BE12-879E20711F85}"/>
            </c:ext>
          </c:extLst>
        </c:ser>
        <c:dLbls>
          <c:showLegendKey val="0"/>
          <c:showVal val="0"/>
          <c:showCatName val="0"/>
          <c:showSerName val="0"/>
          <c:showPercent val="0"/>
          <c:showBubbleSize val="0"/>
        </c:dLbls>
        <c:gapWidth val="219"/>
        <c:overlap val="-27"/>
        <c:axId val="1399691904"/>
        <c:axId val="1399692384"/>
      </c:barChart>
      <c:catAx>
        <c:axId val="13996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2384"/>
        <c:crosses val="autoZero"/>
        <c:auto val="1"/>
        <c:lblAlgn val="ctr"/>
        <c:lblOffset val="100"/>
        <c:noMultiLvlLbl val="0"/>
      </c:catAx>
      <c:valAx>
        <c:axId val="139969238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139969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'Labor Force'!$B$82</c:f>
              <c:strCache>
                <c:ptCount val="1"/>
                <c:pt idx="0">
                  <c:v>Chamblee</c:v>
                </c:pt>
              </c:strCache>
            </c:strRef>
          </c:tx>
          <c:spPr>
            <a:ln w="28575" cap="rnd">
              <a:solidFill>
                <a:srgbClr val="B3A369"/>
              </a:solidFill>
              <a:round/>
            </a:ln>
            <a:effectLst/>
          </c:spPr>
          <c:marker>
            <c:symbol val="none"/>
          </c:marker>
          <c:dLbls>
            <c:dLbl>
              <c:idx val="0"/>
              <c:layout>
                <c:manualLayout>
                  <c:x val="-9.444444444444447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6-0E4D-4F34-A860-3E4B1D3FD751}"/>
                </c:ext>
              </c:extLst>
            </c:dLbl>
            <c:dLbl>
              <c:idx val="2"/>
              <c:layout>
                <c:manualLayout>
                  <c:x val="-1.9444444444444545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Force'!$C$81:$E$81</c:f>
              <c:numCache>
                <c:formatCode>General</c:formatCode>
                <c:ptCount val="3"/>
                <c:pt idx="0">
                  <c:v>2015</c:v>
                </c:pt>
                <c:pt idx="1">
                  <c:v>2020</c:v>
                </c:pt>
                <c:pt idx="2">
                  <c:v>2024</c:v>
                </c:pt>
              </c:numCache>
            </c:numRef>
          </c:cat>
          <c:val>
            <c:numRef>
              <c:f>'Labor Force'!$C$82:$E$82</c:f>
              <c:numCache>
                <c:formatCode>0.0%</c:formatCode>
                <c:ptCount val="3"/>
                <c:pt idx="0">
                  <c:v>0.77800000000000002</c:v>
                </c:pt>
                <c:pt idx="1">
                  <c:v>0.76400000000000001</c:v>
                </c:pt>
                <c:pt idx="2">
                  <c:v>0.755</c:v>
                </c:pt>
              </c:numCache>
            </c:numRef>
          </c:val>
          <c:smooth val="0"/>
          <c:extLst>
            <c:ext xmlns:c16="http://schemas.microsoft.com/office/drawing/2014/chart" uri="{C3380CC4-5D6E-409C-BE32-E72D297353CC}">
              <c16:uniqueId val="{00000000-0E4D-4F34-A860-3E4B1D3FD751}"/>
            </c:ext>
          </c:extLst>
        </c:ser>
        <c:ser>
          <c:idx val="1"/>
          <c:order val="1"/>
          <c:tx>
            <c:strRef>
              <c:f>'Labor Force'!$B$83</c:f>
              <c:strCache>
                <c:ptCount val="1"/>
                <c:pt idx="0">
                  <c:v>DeKalb County</c:v>
                </c:pt>
              </c:strCache>
            </c:strRef>
          </c:tx>
          <c:spPr>
            <a:ln w="28575" cap="rnd">
              <a:solidFill>
                <a:srgbClr val="003057"/>
              </a:solidFill>
              <a:round/>
            </a:ln>
            <a:effectLst/>
          </c:spPr>
          <c:marker>
            <c:symbol val="none"/>
          </c:marker>
          <c:dLbls>
            <c:dLbl>
              <c:idx val="0"/>
              <c:layout>
                <c:manualLayout>
                  <c:x val="-9.7222222222222252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4D-4F34-A860-3E4B1D3FD751}"/>
                </c:ext>
              </c:extLst>
            </c:dLbl>
            <c:dLbl>
              <c:idx val="2"/>
              <c:layout>
                <c:manualLayout>
                  <c:x val="-8.3333333333333332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Force'!$C$81:$E$81</c:f>
              <c:numCache>
                <c:formatCode>General</c:formatCode>
                <c:ptCount val="3"/>
                <c:pt idx="0">
                  <c:v>2015</c:v>
                </c:pt>
                <c:pt idx="1">
                  <c:v>2020</c:v>
                </c:pt>
                <c:pt idx="2">
                  <c:v>2024</c:v>
                </c:pt>
              </c:numCache>
            </c:numRef>
          </c:cat>
          <c:val>
            <c:numRef>
              <c:f>'Labor Force'!$C$83:$E$83</c:f>
              <c:numCache>
                <c:formatCode>0.0%</c:formatCode>
                <c:ptCount val="3"/>
                <c:pt idx="0">
                  <c:v>0.69099999999999995</c:v>
                </c:pt>
                <c:pt idx="1">
                  <c:v>0.69</c:v>
                </c:pt>
                <c:pt idx="2">
                  <c:v>0.68300000000000005</c:v>
                </c:pt>
              </c:numCache>
            </c:numRef>
          </c:val>
          <c:smooth val="0"/>
          <c:extLst>
            <c:ext xmlns:c16="http://schemas.microsoft.com/office/drawing/2014/chart" uri="{C3380CC4-5D6E-409C-BE32-E72D297353CC}">
              <c16:uniqueId val="{00000001-0E4D-4F34-A860-3E4B1D3FD751}"/>
            </c:ext>
          </c:extLst>
        </c:ser>
        <c:ser>
          <c:idx val="2"/>
          <c:order val="2"/>
          <c:tx>
            <c:strRef>
              <c:f>'Labor Force'!$B$84</c:f>
              <c:strCache>
                <c:ptCount val="1"/>
                <c:pt idx="0">
                  <c:v>Atlanta MSA</c:v>
                </c:pt>
              </c:strCache>
            </c:strRef>
          </c:tx>
          <c:spPr>
            <a:ln w="28575" cap="rnd">
              <a:solidFill>
                <a:srgbClr val="EAAA00"/>
              </a:solidFill>
              <a:round/>
            </a:ln>
            <a:effectLst/>
          </c:spPr>
          <c:marker>
            <c:symbol val="none"/>
          </c:marker>
          <c:dLbls>
            <c:dLbl>
              <c:idx val="0"/>
              <c:layout>
                <c:manualLayout>
                  <c:x val="-9.44444444444444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8-0E4D-4F34-A860-3E4B1D3FD751}"/>
                </c:ext>
              </c:extLst>
            </c:dLbl>
            <c:dLbl>
              <c:idx val="2"/>
              <c:layout>
                <c:manualLayout>
                  <c:x val="-5.555555555555657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Force'!$C$81:$E$81</c:f>
              <c:numCache>
                <c:formatCode>General</c:formatCode>
                <c:ptCount val="3"/>
                <c:pt idx="0">
                  <c:v>2015</c:v>
                </c:pt>
                <c:pt idx="1">
                  <c:v>2020</c:v>
                </c:pt>
                <c:pt idx="2">
                  <c:v>2024</c:v>
                </c:pt>
              </c:numCache>
            </c:numRef>
          </c:cat>
          <c:val>
            <c:numRef>
              <c:f>'Labor Force'!$C$84:$E$84</c:f>
              <c:numCache>
                <c:formatCode>0.0%</c:formatCode>
                <c:ptCount val="3"/>
                <c:pt idx="0">
                  <c:v>0.67200000000000004</c:v>
                </c:pt>
                <c:pt idx="1">
                  <c:v>0.67100000000000004</c:v>
                </c:pt>
                <c:pt idx="2">
                  <c:v>0.67500000000000004</c:v>
                </c:pt>
              </c:numCache>
            </c:numRef>
          </c:val>
          <c:smooth val="0"/>
          <c:extLst>
            <c:ext xmlns:c16="http://schemas.microsoft.com/office/drawing/2014/chart" uri="{C3380CC4-5D6E-409C-BE32-E72D297353CC}">
              <c16:uniqueId val="{00000002-0E4D-4F34-A860-3E4B1D3FD751}"/>
            </c:ext>
          </c:extLst>
        </c:ser>
        <c:ser>
          <c:idx val="3"/>
          <c:order val="3"/>
          <c:tx>
            <c:strRef>
              <c:f>'Labor Force'!$B$85</c:f>
              <c:strCache>
                <c:ptCount val="1"/>
                <c:pt idx="0">
                  <c:v>Georgia</c:v>
                </c:pt>
              </c:strCache>
            </c:strRef>
          </c:tx>
          <c:spPr>
            <a:ln w="28575" cap="rnd">
              <a:solidFill>
                <a:srgbClr val="F3EDC9"/>
              </a:solidFill>
              <a:round/>
            </a:ln>
            <a:effectLst/>
          </c:spPr>
          <c:marker>
            <c:symbol val="none"/>
          </c:marker>
          <c:dLbls>
            <c:dLbl>
              <c:idx val="0"/>
              <c:layout>
                <c:manualLayout>
                  <c:x val="-9.444444444444447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9-0E4D-4F34-A860-3E4B1D3FD751}"/>
                </c:ext>
              </c:extLst>
            </c:dLbl>
            <c:dLbl>
              <c:idx val="2"/>
              <c:layout>
                <c:manualLayout>
                  <c:x val="-4.1666666666666664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Force'!$C$81:$E$81</c:f>
              <c:numCache>
                <c:formatCode>General</c:formatCode>
                <c:ptCount val="3"/>
                <c:pt idx="0">
                  <c:v>2015</c:v>
                </c:pt>
                <c:pt idx="1">
                  <c:v>2020</c:v>
                </c:pt>
                <c:pt idx="2">
                  <c:v>2024</c:v>
                </c:pt>
              </c:numCache>
            </c:numRef>
          </c:cat>
          <c:val>
            <c:numRef>
              <c:f>'Labor Force'!$C$85:$E$85</c:f>
              <c:numCache>
                <c:formatCode>0.0%</c:formatCode>
                <c:ptCount val="3"/>
                <c:pt idx="0">
                  <c:v>0.63</c:v>
                </c:pt>
                <c:pt idx="1">
                  <c:v>0.67500000000000004</c:v>
                </c:pt>
                <c:pt idx="2">
                  <c:v>0.67100000000000004</c:v>
                </c:pt>
              </c:numCache>
            </c:numRef>
          </c:val>
          <c:smooth val="0"/>
          <c:extLst>
            <c:ext xmlns:c16="http://schemas.microsoft.com/office/drawing/2014/chart" uri="{C3380CC4-5D6E-409C-BE32-E72D297353CC}">
              <c16:uniqueId val="{00000003-0E4D-4F34-A860-3E4B1D3FD751}"/>
            </c:ext>
          </c:extLst>
        </c:ser>
        <c:dLbls>
          <c:showLegendKey val="0"/>
          <c:showVal val="0"/>
          <c:showCatName val="0"/>
          <c:showSerName val="0"/>
          <c:showPercent val="0"/>
          <c:showBubbleSize val="0"/>
        </c:dLbls>
        <c:smooth val="0"/>
        <c:axId val="486482000"/>
        <c:axId val="486480080"/>
      </c:lineChart>
      <c:catAx>
        <c:axId val="4864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486480080"/>
        <c:crosses val="autoZero"/>
        <c:auto val="1"/>
        <c:lblAlgn val="ctr"/>
        <c:lblOffset val="100"/>
        <c:noMultiLvlLbl val="0"/>
      </c:catAx>
      <c:valAx>
        <c:axId val="48648008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486482000"/>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'Labor Force'!$B$88</c:f>
              <c:strCache>
                <c:ptCount val="1"/>
                <c:pt idx="0">
                  <c:v>Brookhaven</c:v>
                </c:pt>
              </c:strCache>
            </c:strRef>
          </c:tx>
          <c:spPr>
            <a:ln w="28575" cap="rnd">
              <a:solidFill>
                <a:srgbClr val="B3A369"/>
              </a:solidFill>
              <a:round/>
            </a:ln>
            <a:effectLst/>
          </c:spPr>
          <c:marker>
            <c:symbol val="none"/>
          </c:marker>
          <c:dLbls>
            <c:dLbl>
              <c:idx val="0"/>
              <c:layout>
                <c:manualLayout>
                  <c:x val="-0.1027777777777778"/>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4D-4F34-A860-3E4B1D3FD751}"/>
                </c:ext>
              </c:extLst>
            </c:dLbl>
            <c:dLbl>
              <c:idx val="1"/>
              <c:layout>
                <c:manualLayout>
                  <c:x val="-1.388888888888899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Force'!$C$87:$E$87</c:f>
              <c:numCache>
                <c:formatCode>General</c:formatCode>
                <c:ptCount val="3"/>
                <c:pt idx="0">
                  <c:v>2015</c:v>
                </c:pt>
                <c:pt idx="1">
                  <c:v>2020</c:v>
                </c:pt>
                <c:pt idx="2">
                  <c:v>2024</c:v>
                </c:pt>
              </c:numCache>
            </c:numRef>
          </c:cat>
          <c:val>
            <c:numRef>
              <c:f>'Labor Force'!$C$88:$E$88</c:f>
              <c:numCache>
                <c:formatCode>0.0%</c:formatCode>
                <c:ptCount val="3"/>
                <c:pt idx="0">
                  <c:v>0.75700000000000001</c:v>
                </c:pt>
                <c:pt idx="1">
                  <c:v>0.78800000000000003</c:v>
                </c:pt>
                <c:pt idx="2">
                  <c:v>0.76600000000000001</c:v>
                </c:pt>
              </c:numCache>
            </c:numRef>
          </c:val>
          <c:smooth val="0"/>
          <c:extLst>
            <c:ext xmlns:c16="http://schemas.microsoft.com/office/drawing/2014/chart" uri="{C3380CC4-5D6E-409C-BE32-E72D297353CC}">
              <c16:uniqueId val="{00000000-0E4D-4F34-A860-3E4B1D3FD751}"/>
            </c:ext>
          </c:extLst>
        </c:ser>
        <c:ser>
          <c:idx val="1"/>
          <c:order val="1"/>
          <c:tx>
            <c:strRef>
              <c:f>'Labor Force'!$B$89</c:f>
              <c:strCache>
                <c:ptCount val="1"/>
                <c:pt idx="0">
                  <c:v>Chamblee</c:v>
                </c:pt>
              </c:strCache>
            </c:strRef>
          </c:tx>
          <c:spPr>
            <a:ln w="28575" cap="rnd">
              <a:solidFill>
                <a:srgbClr val="003057"/>
              </a:solidFill>
              <a:round/>
            </a:ln>
            <a:effectLst/>
          </c:spPr>
          <c:marker>
            <c:symbol val="none"/>
          </c:marker>
          <c:dLbls>
            <c:dLbl>
              <c:idx val="0"/>
              <c:layout>
                <c:manualLayout>
                  <c:x val="-0.10000000000000002"/>
                  <c:y val="-2.3148148148148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B-A29A-4B75-A452-9C37202F8D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Force'!$C$87:$E$87</c:f>
              <c:numCache>
                <c:formatCode>General</c:formatCode>
                <c:ptCount val="3"/>
                <c:pt idx="0">
                  <c:v>2015</c:v>
                </c:pt>
                <c:pt idx="1">
                  <c:v>2020</c:v>
                </c:pt>
                <c:pt idx="2">
                  <c:v>2024</c:v>
                </c:pt>
              </c:numCache>
            </c:numRef>
          </c:cat>
          <c:val>
            <c:numRef>
              <c:f>'Labor Force'!$C$89:$E$89</c:f>
              <c:numCache>
                <c:formatCode>0.0%</c:formatCode>
                <c:ptCount val="3"/>
                <c:pt idx="0">
                  <c:v>0.77800000000000002</c:v>
                </c:pt>
                <c:pt idx="1">
                  <c:v>0.76400000000000001</c:v>
                </c:pt>
                <c:pt idx="2">
                  <c:v>0.755</c:v>
                </c:pt>
              </c:numCache>
            </c:numRef>
          </c:val>
          <c:smooth val="0"/>
          <c:extLst>
            <c:ext xmlns:c16="http://schemas.microsoft.com/office/drawing/2014/chart" uri="{C3380CC4-5D6E-409C-BE32-E72D297353CC}">
              <c16:uniqueId val="{00000001-0E4D-4F34-A860-3E4B1D3FD751}"/>
            </c:ext>
          </c:extLst>
        </c:ser>
        <c:ser>
          <c:idx val="2"/>
          <c:order val="2"/>
          <c:tx>
            <c:strRef>
              <c:f>'Labor Force'!$B$90</c:f>
              <c:strCache>
                <c:ptCount val="1"/>
                <c:pt idx="0">
                  <c:v>Doraville</c:v>
                </c:pt>
              </c:strCache>
            </c:strRef>
          </c:tx>
          <c:spPr>
            <a:ln w="28575" cap="rnd">
              <a:solidFill>
                <a:srgbClr val="EAAA00"/>
              </a:solidFill>
              <a:round/>
            </a:ln>
            <a:effectLst/>
          </c:spPr>
          <c:marker>
            <c:symbol val="none"/>
          </c:marker>
          <c:dLbls>
            <c:dLbl>
              <c:idx val="0"/>
              <c:layout>
                <c:manualLayout>
                  <c:x val="-0.10000000000000002"/>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4D-4F34-A860-3E4B1D3FD751}"/>
                </c:ext>
              </c:extLst>
            </c:dLbl>
            <c:dLbl>
              <c:idx val="1"/>
              <c:delete val="1"/>
              <c:extLst>
                <c:ext xmlns:c15="http://schemas.microsoft.com/office/drawing/2012/chart" uri="{CE6537A1-D6FC-4f65-9D91-7224C49458BB}"/>
                <c:ext xmlns:c16="http://schemas.microsoft.com/office/drawing/2014/chart" uri="{C3380CC4-5D6E-409C-BE32-E72D297353CC}">
                  <c16:uniqueId val="{00000008-0E4D-4F34-A860-3E4B1D3FD7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Force'!$C$87:$E$87</c:f>
              <c:numCache>
                <c:formatCode>General</c:formatCode>
                <c:ptCount val="3"/>
                <c:pt idx="0">
                  <c:v>2015</c:v>
                </c:pt>
                <c:pt idx="1">
                  <c:v>2020</c:v>
                </c:pt>
                <c:pt idx="2">
                  <c:v>2024</c:v>
                </c:pt>
              </c:numCache>
            </c:numRef>
          </c:cat>
          <c:val>
            <c:numRef>
              <c:f>'Labor Force'!$C$90:$E$90</c:f>
              <c:numCache>
                <c:formatCode>0.0%</c:formatCode>
                <c:ptCount val="3"/>
                <c:pt idx="0">
                  <c:v>0.76900000000000002</c:v>
                </c:pt>
                <c:pt idx="1">
                  <c:v>0.752</c:v>
                </c:pt>
                <c:pt idx="2">
                  <c:v>0.755</c:v>
                </c:pt>
              </c:numCache>
            </c:numRef>
          </c:val>
          <c:smooth val="0"/>
          <c:extLst>
            <c:ext xmlns:c16="http://schemas.microsoft.com/office/drawing/2014/chart" uri="{C3380CC4-5D6E-409C-BE32-E72D297353CC}">
              <c16:uniqueId val="{00000002-0E4D-4F34-A860-3E4B1D3FD751}"/>
            </c:ext>
          </c:extLst>
        </c:ser>
        <c:ser>
          <c:idx val="3"/>
          <c:order val="3"/>
          <c:tx>
            <c:strRef>
              <c:f>'Labor Force'!$B$91</c:f>
              <c:strCache>
                <c:ptCount val="1"/>
                <c:pt idx="0">
                  <c:v>Dunwoody</c:v>
                </c:pt>
              </c:strCache>
            </c:strRef>
          </c:tx>
          <c:spPr>
            <a:ln w="28575" cap="rnd">
              <a:solidFill>
                <a:schemeClr val="accent4"/>
              </a:solidFill>
              <a:round/>
            </a:ln>
            <a:effectLst/>
          </c:spPr>
          <c:marker>
            <c:symbol val="none"/>
          </c:marker>
          <c:dLbls>
            <c:dLbl>
              <c:idx val="0"/>
              <c:layout>
                <c:manualLayout>
                  <c:x val="-9.44444444444444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29A-4B75-A452-9C37202F8D06}"/>
                </c:ext>
              </c:extLst>
            </c:dLbl>
            <c:dLbl>
              <c:idx val="1"/>
              <c:layout>
                <c:manualLayout>
                  <c:x val="-5.5555555555555657E-2"/>
                  <c:y val="4.1666666666666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9A-4B75-A452-9C37202F8D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Force'!$C$87:$E$87</c:f>
              <c:numCache>
                <c:formatCode>General</c:formatCode>
                <c:ptCount val="3"/>
                <c:pt idx="0">
                  <c:v>2015</c:v>
                </c:pt>
                <c:pt idx="1">
                  <c:v>2020</c:v>
                </c:pt>
                <c:pt idx="2">
                  <c:v>2024</c:v>
                </c:pt>
              </c:numCache>
            </c:numRef>
          </c:cat>
          <c:val>
            <c:numRef>
              <c:f>'Labor Force'!$C$91:$E$91</c:f>
              <c:numCache>
                <c:formatCode>0.0%</c:formatCode>
                <c:ptCount val="3"/>
                <c:pt idx="0">
                  <c:v>0.70799999999999996</c:v>
                </c:pt>
                <c:pt idx="1">
                  <c:v>0.67900000000000005</c:v>
                </c:pt>
                <c:pt idx="2">
                  <c:v>0.70899999999999996</c:v>
                </c:pt>
              </c:numCache>
            </c:numRef>
          </c:val>
          <c:smooth val="0"/>
          <c:extLst>
            <c:ext xmlns:c16="http://schemas.microsoft.com/office/drawing/2014/chart" uri="{C3380CC4-5D6E-409C-BE32-E72D297353CC}">
              <c16:uniqueId val="{00000007-A29A-4B75-A452-9C37202F8D06}"/>
            </c:ext>
          </c:extLst>
        </c:ser>
        <c:ser>
          <c:idx val="4"/>
          <c:order val="4"/>
          <c:tx>
            <c:strRef>
              <c:f>'Labor Force'!$B$92</c:f>
              <c:strCache>
                <c:ptCount val="1"/>
                <c:pt idx="0">
                  <c:v>Sandy Springs</c:v>
                </c:pt>
              </c:strCache>
            </c:strRef>
          </c:tx>
          <c:spPr>
            <a:ln w="28575" cap="rnd">
              <a:solidFill>
                <a:schemeClr val="accent5"/>
              </a:solidFill>
              <a:round/>
            </a:ln>
            <a:effectLst/>
          </c:spPr>
          <c:marker>
            <c:symbol val="none"/>
          </c:marker>
          <c:dLbls>
            <c:dLbl>
              <c:idx val="0"/>
              <c:layout>
                <c:manualLayout>
                  <c:x val="-9.7222222222222252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29A-4B75-A452-9C37202F8D06}"/>
                </c:ext>
              </c:extLst>
            </c:dLbl>
            <c:dLbl>
              <c:idx val="1"/>
              <c:delete val="1"/>
              <c:extLst>
                <c:ext xmlns:c15="http://schemas.microsoft.com/office/drawing/2012/chart" uri="{CE6537A1-D6FC-4f65-9D91-7224C49458BB}"/>
                <c:ext xmlns:c16="http://schemas.microsoft.com/office/drawing/2014/chart" uri="{C3380CC4-5D6E-409C-BE32-E72D297353CC}">
                  <c16:uniqueId val="{0000000A-A29A-4B75-A452-9C37202F8D06}"/>
                </c:ext>
              </c:extLst>
            </c:dLbl>
            <c:dLbl>
              <c:idx val="2"/>
              <c:layout>
                <c:manualLayout>
                  <c:x val="-1.38888888888889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29A-4B75-A452-9C37202F8D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'Labor Force'!$C$87:$E$87</c:f>
              <c:numCache>
                <c:formatCode>General</c:formatCode>
                <c:ptCount val="3"/>
                <c:pt idx="0">
                  <c:v>2015</c:v>
                </c:pt>
                <c:pt idx="1">
                  <c:v>2020</c:v>
                </c:pt>
                <c:pt idx="2">
                  <c:v>2024</c:v>
                </c:pt>
              </c:numCache>
            </c:numRef>
          </c:cat>
          <c:val>
            <c:numRef>
              <c:f>'Labor Force'!$C$92:$E$92</c:f>
              <c:numCache>
                <c:formatCode>0.0%</c:formatCode>
                <c:ptCount val="3"/>
                <c:pt idx="0">
                  <c:v>0.73299999999999998</c:v>
                </c:pt>
                <c:pt idx="1">
                  <c:v>0.73399999999999999</c:v>
                </c:pt>
                <c:pt idx="2">
                  <c:v>0.74199999999999999</c:v>
                </c:pt>
              </c:numCache>
            </c:numRef>
          </c:val>
          <c:smooth val="0"/>
          <c:extLst>
            <c:ext xmlns:c16="http://schemas.microsoft.com/office/drawing/2014/chart" uri="{C3380CC4-5D6E-409C-BE32-E72D297353CC}">
              <c16:uniqueId val="{00000008-A29A-4B75-A452-9C37202F8D06}"/>
            </c:ext>
          </c:extLst>
        </c:ser>
        <c:dLbls>
          <c:showLegendKey val="0"/>
          <c:showVal val="0"/>
          <c:showCatName val="0"/>
          <c:showSerName val="0"/>
          <c:showPercent val="0"/>
          <c:showBubbleSize val="0"/>
        </c:dLbls>
        <c:smooth val="0"/>
        <c:axId val="486482000"/>
        <c:axId val="486480080"/>
      </c:lineChart>
      <c:catAx>
        <c:axId val="4864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486480080"/>
        <c:crosses val="autoZero"/>
        <c:auto val="1"/>
        <c:lblAlgn val="ctr"/>
        <c:lblOffset val="100"/>
        <c:noMultiLvlLbl val="0"/>
      </c:catAx>
      <c:valAx>
        <c:axId val="486480080"/>
        <c:scaling>
          <c:orientation val="minMax"/>
          <c:min val="0.6500000000000001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crossAx val="486482000"/>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baseline="0">
          <a:latin typeface="Roboto" panose="02000000000000000000" pitchFamily="2"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861-4F35-A341-39510EEA810E}"/>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1-9861-4F35-A341-39510EEA810E}"/>
              </c:ext>
            </c:extLst>
          </c:dPt>
          <c:dLbls>
            <c:dLbl>
              <c:idx val="1"/>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Avenir Next LT Pro" panose="020B0504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9861-4F35-A341-39510EEA810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Avenir Next LT Pro" panose="020B05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Housing!$B$4:$B$5</c:f>
              <c:strCache>
                <c:ptCount val="2"/>
                <c:pt idx="0">
                  <c:v>   Owner Occupied</c:v>
                </c:pt>
                <c:pt idx="1">
                  <c:v>   Renter Occupied</c:v>
                </c:pt>
              </c:strCache>
            </c:strRef>
          </c:cat>
          <c:val>
            <c:numRef>
              <c:f>Housing!$F$4:$F$5</c:f>
              <c:numCache>
                <c:formatCode>0%</c:formatCode>
                <c:ptCount val="2"/>
                <c:pt idx="0">
                  <c:v>0.396683570796104</c:v>
                </c:pt>
                <c:pt idx="1">
                  <c:v>0.60331642920389605</c:v>
                </c:pt>
              </c:numCache>
            </c:numRef>
          </c:val>
          <c:extLst>
            <c:ext xmlns:c16="http://schemas.microsoft.com/office/drawing/2014/chart" uri="{C3380CC4-5D6E-409C-BE32-E72D297353CC}">
              <c16:uniqueId val="{00000000-9861-4F35-A341-39510EEA810E}"/>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venir Next LT Pro" panose="020B05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ysClr val="windowText" lastClr="000000"/>
          </a:solidFill>
          <a:latin typeface="Avenir Next LT Pro" panose="020B05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Housing!$B$16</c:f>
              <c:strCache>
                <c:ptCount val="1"/>
                <c:pt idx="0">
                  <c:v>Median Home Value</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Avenir Next LT Pro"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Housing!$B$17:$B$19</c:f>
              <c:numCache>
                <c:formatCode>@</c:formatCode>
                <c:ptCount val="3"/>
                <c:pt idx="0">
                  <c:v>2015</c:v>
                </c:pt>
                <c:pt idx="1">
                  <c:v>2019</c:v>
                </c:pt>
                <c:pt idx="2">
                  <c:v>2024</c:v>
                </c:pt>
              </c:numCache>
            </c:numRef>
          </c:cat>
          <c:val>
            <c:numRef>
              <c:f>Housing!$C$17:$C$19</c:f>
              <c:numCache>
                <c:formatCode>_("$"* #,##0_);_("$"* \(#,##0\);_("$"* "-"??_);_(@_)</c:formatCode>
                <c:ptCount val="3"/>
                <c:pt idx="0">
                  <c:v>210700</c:v>
                </c:pt>
                <c:pt idx="1">
                  <c:v>283300</c:v>
                </c:pt>
                <c:pt idx="2">
                  <c:v>432800</c:v>
                </c:pt>
              </c:numCache>
            </c:numRef>
          </c:val>
          <c:extLst>
            <c:ext xmlns:c16="http://schemas.microsoft.com/office/drawing/2014/chart" uri="{C3380CC4-5D6E-409C-BE32-E72D297353CC}">
              <c16:uniqueId val="{00000001-E878-4D77-8C0C-F3080765066F}"/>
            </c:ext>
          </c:extLst>
        </c:ser>
        <c:dLbls>
          <c:dLblPos val="outEnd"/>
          <c:showLegendKey val="0"/>
          <c:showVal val="1"/>
          <c:showCatName val="0"/>
          <c:showSerName val="0"/>
          <c:showPercent val="0"/>
          <c:showBubbleSize val="0"/>
        </c:dLbls>
        <c:gapWidth val="219"/>
        <c:overlap val="-27"/>
        <c:axId val="585958095"/>
        <c:axId val="585952335"/>
      </c:barChart>
      <c:catAx>
        <c:axId val="585958095"/>
        <c:scaling>
          <c:orientation val="minMax"/>
        </c:scaling>
        <c:delete val="0"/>
        <c:axPos val="b"/>
        <c:numFmt formatCode="@"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venir Next LT Pro" panose="020B0504020202020204" pitchFamily="34" charset="0"/>
                <a:ea typeface="+mn-ea"/>
                <a:cs typeface="+mn-cs"/>
              </a:defRPr>
            </a:pPr>
            <a:endParaRPr lang="en-US"/>
          </a:p>
        </c:txPr>
        <c:crossAx val="585952335"/>
        <c:crosses val="autoZero"/>
        <c:auto val="1"/>
        <c:lblAlgn val="ctr"/>
        <c:lblOffset val="100"/>
        <c:noMultiLvlLbl val="0"/>
      </c:catAx>
      <c:valAx>
        <c:axId val="585952335"/>
        <c:scaling>
          <c:orientation val="minMax"/>
        </c:scaling>
        <c:delete val="1"/>
        <c:axPos val="l"/>
        <c:numFmt formatCode="_(&quot;$&quot;* #,##0_);_(&quot;$&quot;* \(#,##0\);_(&quot;$&quot;* &quot;-&quot;??_);_(@_)" sourceLinked="1"/>
        <c:majorTickMark val="out"/>
        <c:minorTickMark val="none"/>
        <c:tickLblPos val="nextTo"/>
        <c:crossAx val="58595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Avenir Next LT Pro" panose="020B05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Housing!$C$39</c:f>
              <c:strCache>
                <c:ptCount val="1"/>
                <c:pt idx="0">
                  <c:v>Cost burden &gt; 30% </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venir Next LT Pro"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Housing!$B$40:$B$44</c:f>
              <c:strCache>
                <c:ptCount val="5"/>
                <c:pt idx="0">
                  <c:v>HH Income &lt;= 30% </c:v>
                </c:pt>
                <c:pt idx="1">
                  <c:v>HH Income &gt;30% to &lt;=50% </c:v>
                </c:pt>
                <c:pt idx="2">
                  <c:v>HH Income &gt;50% to &lt;=80% </c:v>
                </c:pt>
                <c:pt idx="3">
                  <c:v>HH Income &gt;80% to &lt;=100% </c:v>
                </c:pt>
                <c:pt idx="4">
                  <c:v>HH Income &gt;100% </c:v>
                </c:pt>
              </c:strCache>
            </c:strRef>
          </c:cat>
          <c:val>
            <c:numRef>
              <c:f>Housing!$C$40:$C$44</c:f>
              <c:numCache>
                <c:formatCode>General</c:formatCode>
                <c:ptCount val="5"/>
                <c:pt idx="0">
                  <c:v>915</c:v>
                </c:pt>
                <c:pt idx="1">
                  <c:v>970</c:v>
                </c:pt>
                <c:pt idx="2">
                  <c:v>950</c:v>
                </c:pt>
                <c:pt idx="3">
                  <c:v>450</c:v>
                </c:pt>
                <c:pt idx="4">
                  <c:v>165</c:v>
                </c:pt>
              </c:numCache>
            </c:numRef>
          </c:val>
          <c:extLst>
            <c:ext xmlns:c16="http://schemas.microsoft.com/office/drawing/2014/chart" uri="{C3380CC4-5D6E-409C-BE32-E72D297353CC}">
              <c16:uniqueId val="{00000000-BFCA-441E-B3C7-5EABE91306A2}"/>
            </c:ext>
          </c:extLst>
        </c:ser>
        <c:dLbls>
          <c:dLblPos val="outEnd"/>
          <c:showLegendKey val="0"/>
          <c:showVal val="1"/>
          <c:showCatName val="0"/>
          <c:showSerName val="0"/>
          <c:showPercent val="0"/>
          <c:showBubbleSize val="0"/>
        </c:dLbls>
        <c:gapWidth val="219"/>
        <c:overlap val="-27"/>
        <c:axId val="585920655"/>
        <c:axId val="585921135"/>
      </c:barChart>
      <c:catAx>
        <c:axId val="58592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LT Pro" panose="020B0504020202020204" pitchFamily="34" charset="0"/>
                <a:ea typeface="+mn-ea"/>
                <a:cs typeface="+mn-cs"/>
              </a:defRPr>
            </a:pPr>
            <a:endParaRPr lang="en-US"/>
          </a:p>
        </c:txPr>
        <c:crossAx val="585921135"/>
        <c:crosses val="autoZero"/>
        <c:auto val="1"/>
        <c:lblAlgn val="ctr"/>
        <c:lblOffset val="100"/>
        <c:noMultiLvlLbl val="0"/>
      </c:catAx>
      <c:valAx>
        <c:axId val="585921135"/>
        <c:scaling>
          <c:orientation val="minMax"/>
        </c:scaling>
        <c:delete val="1"/>
        <c:axPos val="l"/>
        <c:numFmt formatCode="General" sourceLinked="1"/>
        <c:majorTickMark val="none"/>
        <c:minorTickMark val="none"/>
        <c:tickLblPos val="nextTo"/>
        <c:crossAx val="58592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Avenir Next LT Pro" panose="020B05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Housing!$C$48</c:f>
              <c:strCache>
                <c:ptCount val="1"/>
                <c:pt idx="0">
                  <c:v>Cost burden &gt; 30% </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venir Next LT Pro"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Housing!$B$49:$B$53</c:f>
              <c:strCache>
                <c:ptCount val="5"/>
                <c:pt idx="0">
                  <c:v>HH Income &lt;= 30% </c:v>
                </c:pt>
                <c:pt idx="1">
                  <c:v>HH Income &gt;30% to &lt;=50% </c:v>
                </c:pt>
                <c:pt idx="2">
                  <c:v>HH Income &gt;50% to &lt;=80% </c:v>
                </c:pt>
                <c:pt idx="3">
                  <c:v>HH Income &gt;80% to &lt;=100% </c:v>
                </c:pt>
                <c:pt idx="4">
                  <c:v>HH Income &gt;100% </c:v>
                </c:pt>
              </c:strCache>
            </c:strRef>
          </c:cat>
          <c:val>
            <c:numRef>
              <c:f>Housing!$C$49:$C$53</c:f>
              <c:numCache>
                <c:formatCode>General</c:formatCode>
                <c:ptCount val="5"/>
                <c:pt idx="0">
                  <c:v>240</c:v>
                </c:pt>
                <c:pt idx="1">
                  <c:v>175</c:v>
                </c:pt>
                <c:pt idx="2">
                  <c:v>410</c:v>
                </c:pt>
                <c:pt idx="3">
                  <c:v>155</c:v>
                </c:pt>
                <c:pt idx="4">
                  <c:v>250</c:v>
                </c:pt>
              </c:numCache>
            </c:numRef>
          </c:val>
          <c:extLst>
            <c:ext xmlns:c16="http://schemas.microsoft.com/office/drawing/2014/chart" uri="{C3380CC4-5D6E-409C-BE32-E72D297353CC}">
              <c16:uniqueId val="{00000000-0AB2-4F59-875C-F661D5FF59D0}"/>
            </c:ext>
          </c:extLst>
        </c:ser>
        <c:dLbls>
          <c:dLblPos val="outEnd"/>
          <c:showLegendKey val="0"/>
          <c:showVal val="1"/>
          <c:showCatName val="0"/>
          <c:showSerName val="0"/>
          <c:showPercent val="0"/>
          <c:showBubbleSize val="0"/>
        </c:dLbls>
        <c:gapWidth val="219"/>
        <c:overlap val="-27"/>
        <c:axId val="605128095"/>
        <c:axId val="605123295"/>
      </c:barChart>
      <c:catAx>
        <c:axId val="6051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LT Pro" panose="020B0504020202020204" pitchFamily="34" charset="0"/>
                <a:ea typeface="+mn-ea"/>
                <a:cs typeface="+mn-cs"/>
              </a:defRPr>
            </a:pPr>
            <a:endParaRPr lang="en-US"/>
          </a:p>
        </c:txPr>
        <c:crossAx val="605123295"/>
        <c:crosses val="autoZero"/>
        <c:auto val="1"/>
        <c:lblAlgn val="ctr"/>
        <c:lblOffset val="100"/>
        <c:noMultiLvlLbl val="0"/>
      </c:catAx>
      <c:valAx>
        <c:axId val="605123295"/>
        <c:scaling>
          <c:orientation val="minMax"/>
        </c:scaling>
        <c:delete val="1"/>
        <c:axPos val="l"/>
        <c:numFmt formatCode="General" sourceLinked="1"/>
        <c:majorTickMark val="none"/>
        <c:minorTickMark val="none"/>
        <c:tickLblPos val="nextTo"/>
        <c:crossAx val="60512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Avenir Next LT Pro" panose="020B05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strRef>
              <c:f>Housing!$C$78</c:f>
              <c:strCache>
                <c:ptCount val="1"/>
                <c:pt idx="0">
                  <c:v>Chamblee</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venir Next LT Pro"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Housing!$B$81:$B$90</c15:sqref>
                  </c15:fullRef>
                </c:ext>
              </c:extLst>
              <c:f>Housing!$B$81:$B$89</c:f>
              <c:strCache>
                <c:ptCount val="9"/>
                <c:pt idx="0">
                  <c:v>      Single-Family Detached</c:v>
                </c:pt>
                <c:pt idx="1">
                  <c:v>Townhome</c:v>
                </c:pt>
                <c:pt idx="2">
                  <c:v>Duplex</c:v>
                </c:pt>
                <c:pt idx="3">
                  <c:v>   3 or 4</c:v>
                </c:pt>
                <c:pt idx="4">
                  <c:v>   5 to 9</c:v>
                </c:pt>
                <c:pt idx="5">
                  <c:v>   10 to 19</c:v>
                </c:pt>
                <c:pt idx="6">
                  <c:v>   20 to 49</c:v>
                </c:pt>
                <c:pt idx="7">
                  <c:v>   50 or More</c:v>
                </c:pt>
                <c:pt idx="8">
                  <c:v>   Mobile Home</c:v>
                </c:pt>
              </c:strCache>
            </c:strRef>
          </c:cat>
          <c:val>
            <c:numRef>
              <c:extLst>
                <c:ext xmlns:c15="http://schemas.microsoft.com/office/drawing/2012/chart" uri="{02D57815-91ED-43cb-92C2-25804820EDAC}">
                  <c15:fullRef>
                    <c15:sqref>Housing!$D$81:$D$90</c15:sqref>
                  </c15:fullRef>
                </c:ext>
              </c:extLst>
              <c:f>Housing!$D$81:$D$89</c:f>
              <c:numCache>
                <c:formatCode>#,##0%</c:formatCode>
                <c:ptCount val="9"/>
                <c:pt idx="0">
                  <c:v>0.33107763952557667</c:v>
                </c:pt>
                <c:pt idx="1">
                  <c:v>0.10317980062577312</c:v>
                </c:pt>
                <c:pt idx="2">
                  <c:v>1.9428072473259114E-2</c:v>
                </c:pt>
                <c:pt idx="3">
                  <c:v>4.7733391544786438E-2</c:v>
                </c:pt>
                <c:pt idx="4">
                  <c:v>0.10121516408353344</c:v>
                </c:pt>
                <c:pt idx="5">
                  <c:v>0.10965582478352616</c:v>
                </c:pt>
                <c:pt idx="6">
                  <c:v>9.3647675180091677E-2</c:v>
                </c:pt>
                <c:pt idx="7">
                  <c:v>0.19158844502655897</c:v>
                </c:pt>
                <c:pt idx="8">
                  <c:v>2.4739867568944192E-3</c:v>
                </c:pt>
              </c:numCache>
            </c:numRef>
          </c:val>
          <c:extLst>
            <c:ext xmlns:c16="http://schemas.microsoft.com/office/drawing/2014/chart" uri="{C3380CC4-5D6E-409C-BE32-E72D297353CC}">
              <c16:uniqueId val="{00000001-321C-4351-A104-91791DA8F93E}"/>
            </c:ext>
          </c:extLst>
        </c:ser>
        <c:dLbls>
          <c:dLblPos val="outEnd"/>
          <c:showLegendKey val="0"/>
          <c:showVal val="1"/>
          <c:showCatName val="0"/>
          <c:showSerName val="0"/>
          <c:showPercent val="0"/>
          <c:showBubbleSize val="0"/>
        </c:dLbls>
        <c:gapWidth val="100"/>
        <c:overlap val="-25"/>
        <c:axId val="1188113632"/>
        <c:axId val="1188115552"/>
      </c:barChart>
      <c:catAx>
        <c:axId val="118811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venir Next LT Pro" panose="020B0504020202020204" pitchFamily="34" charset="0"/>
                <a:ea typeface="+mn-ea"/>
                <a:cs typeface="+mn-cs"/>
              </a:defRPr>
            </a:pPr>
            <a:endParaRPr lang="en-US"/>
          </a:p>
        </c:txPr>
        <c:crossAx val="1188115552"/>
        <c:crosses val="autoZero"/>
        <c:auto val="1"/>
        <c:lblAlgn val="ctr"/>
        <c:lblOffset val="100"/>
        <c:noMultiLvlLbl val="0"/>
      </c:catAx>
      <c:valAx>
        <c:axId val="1188115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venir Next LT Pro" panose="020B0504020202020204" pitchFamily="34" charset="0"/>
                <a:ea typeface="+mn-ea"/>
                <a:cs typeface="+mn-cs"/>
              </a:defRPr>
            </a:pPr>
            <a:endParaRPr lang="en-US"/>
          </a:p>
        </c:txPr>
        <c:crossAx val="118811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ysClr val="windowText" lastClr="000000"/>
          </a:solidFill>
          <a:latin typeface="Avenir Next LT Pro" panose="020B05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Housing!$B$94</c:f>
              <c:strCache>
                <c:ptCount val="1"/>
                <c:pt idx="0">
                  <c:v>Chamblee</c:v>
                </c:pt>
              </c:strCache>
            </c:strRef>
          </c:tx>
          <c:spPr>
            <a:ln w="44450" cap="rnd">
              <a:solidFill>
                <a:schemeClr val="tx2"/>
              </a:solidFill>
              <a:round/>
            </a:ln>
            <a:effectLst/>
          </c:spPr>
          <c:marker>
            <c:symbol val="none"/>
          </c:marker>
          <c:dLbls>
            <c:dLbl>
              <c:idx val="0"/>
              <c:layout>
                <c:manualLayout>
                  <c:x val="-5.4375E-2"/>
                  <c:y val="-0.149537037037037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67-490F-8AC6-C2458BF34060}"/>
                </c:ext>
              </c:extLst>
            </c:dLbl>
            <c:dLbl>
              <c:idx val="135"/>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67-490F-8AC6-C2458BF3406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Housing!$C$92:$EH$92</c:f>
              <c:strCache>
                <c:ptCount val="136"/>
                <c:pt idx="0">
                  <c:v>2015</c:v>
                </c:pt>
                <c:pt idx="1">
                  <c:v>2/28/2015</c:v>
                </c:pt>
                <c:pt idx="2">
                  <c:v>3/31/2015</c:v>
                </c:pt>
                <c:pt idx="3">
                  <c:v>4/30/2015</c:v>
                </c:pt>
                <c:pt idx="4">
                  <c:v>5/31/2015</c:v>
                </c:pt>
                <c:pt idx="5">
                  <c:v>6/30/2015</c:v>
                </c:pt>
                <c:pt idx="6">
                  <c:v>7/31/2015</c:v>
                </c:pt>
                <c:pt idx="7">
                  <c:v>8/31/2015</c:v>
                </c:pt>
                <c:pt idx="8">
                  <c:v>9/30/2015</c:v>
                </c:pt>
                <c:pt idx="9">
                  <c:v>10/31/2015</c:v>
                </c:pt>
                <c:pt idx="10">
                  <c:v>11/30/2015</c:v>
                </c:pt>
                <c:pt idx="11">
                  <c:v>12/31/2015</c:v>
                </c:pt>
                <c:pt idx="12">
                  <c:v>2016</c:v>
                </c:pt>
                <c:pt idx="13">
                  <c:v>2/29/2016</c:v>
                </c:pt>
                <c:pt idx="14">
                  <c:v>3/31/2016</c:v>
                </c:pt>
                <c:pt idx="15">
                  <c:v>4/30/2016</c:v>
                </c:pt>
                <c:pt idx="16">
                  <c:v>5/31/2016</c:v>
                </c:pt>
                <c:pt idx="17">
                  <c:v>6/30/2016</c:v>
                </c:pt>
                <c:pt idx="18">
                  <c:v>7/31/2016</c:v>
                </c:pt>
                <c:pt idx="19">
                  <c:v>8/31/2016</c:v>
                </c:pt>
                <c:pt idx="20">
                  <c:v>9/30/2016</c:v>
                </c:pt>
                <c:pt idx="21">
                  <c:v>10/31/2016</c:v>
                </c:pt>
                <c:pt idx="22">
                  <c:v>11/30/2016</c:v>
                </c:pt>
                <c:pt idx="23">
                  <c:v>12/31/2016</c:v>
                </c:pt>
                <c:pt idx="24">
                  <c:v>2017</c:v>
                </c:pt>
                <c:pt idx="25">
                  <c:v>2/28/2017</c:v>
                </c:pt>
                <c:pt idx="26">
                  <c:v>3/31/2017</c:v>
                </c:pt>
                <c:pt idx="27">
                  <c:v>4/30/2017</c:v>
                </c:pt>
                <c:pt idx="28">
                  <c:v>5/31/2017</c:v>
                </c:pt>
                <c:pt idx="29">
                  <c:v>6/30/2017</c:v>
                </c:pt>
                <c:pt idx="30">
                  <c:v>7/31/2017</c:v>
                </c:pt>
                <c:pt idx="31">
                  <c:v>8/31/2017</c:v>
                </c:pt>
                <c:pt idx="32">
                  <c:v>9/30/2017</c:v>
                </c:pt>
                <c:pt idx="33">
                  <c:v>10/31/2017</c:v>
                </c:pt>
                <c:pt idx="34">
                  <c:v>11/30/2017</c:v>
                </c:pt>
                <c:pt idx="35">
                  <c:v>12/31/2017</c:v>
                </c:pt>
                <c:pt idx="36">
                  <c:v>2018</c:v>
                </c:pt>
                <c:pt idx="37">
                  <c:v>2/28/2018</c:v>
                </c:pt>
                <c:pt idx="38">
                  <c:v>3/31/2018</c:v>
                </c:pt>
                <c:pt idx="39">
                  <c:v>4/30/2018</c:v>
                </c:pt>
                <c:pt idx="40">
                  <c:v>5/31/2018</c:v>
                </c:pt>
                <c:pt idx="41">
                  <c:v>6/30/2018</c:v>
                </c:pt>
                <c:pt idx="42">
                  <c:v>7/31/2018</c:v>
                </c:pt>
                <c:pt idx="43">
                  <c:v>8/31/2018</c:v>
                </c:pt>
                <c:pt idx="44">
                  <c:v>9/30/2018</c:v>
                </c:pt>
                <c:pt idx="45">
                  <c:v>10/31/2018</c:v>
                </c:pt>
                <c:pt idx="46">
                  <c:v>11/30/2018</c:v>
                </c:pt>
                <c:pt idx="47">
                  <c:v>12/31/2018</c:v>
                </c:pt>
                <c:pt idx="48">
                  <c:v>2019</c:v>
                </c:pt>
                <c:pt idx="49">
                  <c:v>2/28/2019</c:v>
                </c:pt>
                <c:pt idx="50">
                  <c:v>3/31/2019</c:v>
                </c:pt>
                <c:pt idx="51">
                  <c:v>4/30/2019</c:v>
                </c:pt>
                <c:pt idx="52">
                  <c:v>5/31/2019</c:v>
                </c:pt>
                <c:pt idx="53">
                  <c:v>6/30/2019</c:v>
                </c:pt>
                <c:pt idx="54">
                  <c:v>7/31/2019</c:v>
                </c:pt>
                <c:pt idx="55">
                  <c:v>8/31/2019</c:v>
                </c:pt>
                <c:pt idx="56">
                  <c:v>9/30/2019</c:v>
                </c:pt>
                <c:pt idx="57">
                  <c:v>10/31/2019</c:v>
                </c:pt>
                <c:pt idx="58">
                  <c:v>11/30/2019</c:v>
                </c:pt>
                <c:pt idx="59">
                  <c:v>12/31/2019</c:v>
                </c:pt>
                <c:pt idx="60">
                  <c:v>2020</c:v>
                </c:pt>
                <c:pt idx="61">
                  <c:v>2/29/2020</c:v>
                </c:pt>
                <c:pt idx="62">
                  <c:v>3/31/2020</c:v>
                </c:pt>
                <c:pt idx="63">
                  <c:v>4/30/2020</c:v>
                </c:pt>
                <c:pt idx="64">
                  <c:v>5/31/2020</c:v>
                </c:pt>
                <c:pt idx="65">
                  <c:v>6/30/2020</c:v>
                </c:pt>
                <c:pt idx="66">
                  <c:v>7/31/2020</c:v>
                </c:pt>
                <c:pt idx="67">
                  <c:v>8/31/2020</c:v>
                </c:pt>
                <c:pt idx="68">
                  <c:v>9/30/2020</c:v>
                </c:pt>
                <c:pt idx="69">
                  <c:v>10/31/2020</c:v>
                </c:pt>
                <c:pt idx="70">
                  <c:v>11/30/2020</c:v>
                </c:pt>
                <c:pt idx="71">
                  <c:v>12/31/2020</c:v>
                </c:pt>
                <c:pt idx="72">
                  <c:v>2021</c:v>
                </c:pt>
                <c:pt idx="73">
                  <c:v>2/28/2021</c:v>
                </c:pt>
                <c:pt idx="74">
                  <c:v>3/31/2021</c:v>
                </c:pt>
                <c:pt idx="75">
                  <c:v>4/30/2021</c:v>
                </c:pt>
                <c:pt idx="76">
                  <c:v>5/31/2021</c:v>
                </c:pt>
                <c:pt idx="77">
                  <c:v>6/30/2021</c:v>
                </c:pt>
                <c:pt idx="78">
                  <c:v>7/31/2021</c:v>
                </c:pt>
                <c:pt idx="79">
                  <c:v>8/31/2021</c:v>
                </c:pt>
                <c:pt idx="80">
                  <c:v>9/30/2021</c:v>
                </c:pt>
                <c:pt idx="81">
                  <c:v>10/31/2021</c:v>
                </c:pt>
                <c:pt idx="82">
                  <c:v>11/30/2021</c:v>
                </c:pt>
                <c:pt idx="83">
                  <c:v>12/31/2021</c:v>
                </c:pt>
                <c:pt idx="84">
                  <c:v>2022</c:v>
                </c:pt>
                <c:pt idx="85">
                  <c:v>2/28/2022</c:v>
                </c:pt>
                <c:pt idx="86">
                  <c:v>3/31/2022</c:v>
                </c:pt>
                <c:pt idx="87">
                  <c:v>4/30/2022</c:v>
                </c:pt>
                <c:pt idx="88">
                  <c:v>5/31/2022</c:v>
                </c:pt>
                <c:pt idx="89">
                  <c:v>6/30/2022</c:v>
                </c:pt>
                <c:pt idx="90">
                  <c:v>7/31/2022</c:v>
                </c:pt>
                <c:pt idx="91">
                  <c:v>8/31/2022</c:v>
                </c:pt>
                <c:pt idx="92">
                  <c:v>9/30/2022</c:v>
                </c:pt>
                <c:pt idx="93">
                  <c:v>10/31/2022</c:v>
                </c:pt>
                <c:pt idx="94">
                  <c:v>11/30/2022</c:v>
                </c:pt>
                <c:pt idx="95">
                  <c:v>12/31/2022</c:v>
                </c:pt>
                <c:pt idx="96">
                  <c:v>2023</c:v>
                </c:pt>
                <c:pt idx="97">
                  <c:v>2/28/2023</c:v>
                </c:pt>
                <c:pt idx="98">
                  <c:v>3/31/2023</c:v>
                </c:pt>
                <c:pt idx="99">
                  <c:v>4/30/2023</c:v>
                </c:pt>
                <c:pt idx="100">
                  <c:v>5/31/2023</c:v>
                </c:pt>
                <c:pt idx="101">
                  <c:v>6/30/2023</c:v>
                </c:pt>
                <c:pt idx="102">
                  <c:v>7/31/2023</c:v>
                </c:pt>
                <c:pt idx="103">
                  <c:v>8/31/2023</c:v>
                </c:pt>
                <c:pt idx="104">
                  <c:v>9/30/2023</c:v>
                </c:pt>
                <c:pt idx="105">
                  <c:v>10/31/2023</c:v>
                </c:pt>
                <c:pt idx="106">
                  <c:v>11/30/2023</c:v>
                </c:pt>
                <c:pt idx="107">
                  <c:v>12/31/2023</c:v>
                </c:pt>
                <c:pt idx="108">
                  <c:v>2024</c:v>
                </c:pt>
                <c:pt idx="109">
                  <c:v>2/29/2024</c:v>
                </c:pt>
                <c:pt idx="110">
                  <c:v>3/31/2024</c:v>
                </c:pt>
                <c:pt idx="111">
                  <c:v>4/30/2024</c:v>
                </c:pt>
                <c:pt idx="112">
                  <c:v>5/31/2024</c:v>
                </c:pt>
                <c:pt idx="113">
                  <c:v>6/30/2024</c:v>
                </c:pt>
                <c:pt idx="114">
                  <c:v>7/31/2024</c:v>
                </c:pt>
                <c:pt idx="115">
                  <c:v>8/31/2024</c:v>
                </c:pt>
                <c:pt idx="116">
                  <c:v>9/30/2024</c:v>
                </c:pt>
                <c:pt idx="117">
                  <c:v>10/31/2024</c:v>
                </c:pt>
                <c:pt idx="118">
                  <c:v>11/30/2024</c:v>
                </c:pt>
                <c:pt idx="119">
                  <c:v>12/31/2024</c:v>
                </c:pt>
                <c:pt idx="120">
                  <c:v>2025</c:v>
                </c:pt>
                <c:pt idx="121">
                  <c:v>2/28/2025</c:v>
                </c:pt>
                <c:pt idx="122">
                  <c:v>3/31/2025</c:v>
                </c:pt>
                <c:pt idx="123">
                  <c:v>4/30/2025</c:v>
                </c:pt>
                <c:pt idx="124">
                  <c:v>5/31/2025</c:v>
                </c:pt>
                <c:pt idx="125">
                  <c:v>6/30/2025</c:v>
                </c:pt>
                <c:pt idx="126">
                  <c:v>7/31/2025</c:v>
                </c:pt>
                <c:pt idx="127">
                  <c:v>8/31/2025</c:v>
                </c:pt>
                <c:pt idx="128">
                  <c:v>9/30/2025</c:v>
                </c:pt>
                <c:pt idx="129">
                  <c:v>10/31/2025</c:v>
                </c:pt>
                <c:pt idx="130">
                  <c:v>11/30/2025</c:v>
                </c:pt>
                <c:pt idx="131">
                  <c:v>12/31/2025</c:v>
                </c:pt>
                <c:pt idx="132">
                  <c:v>2026</c:v>
                </c:pt>
                <c:pt idx="133">
                  <c:v>2/28/2026</c:v>
                </c:pt>
                <c:pt idx="134">
                  <c:v>3/31/2026</c:v>
                </c:pt>
                <c:pt idx="135">
                  <c:v>4/30/2026</c:v>
                </c:pt>
              </c:strCache>
            </c:strRef>
          </c:cat>
          <c:val>
            <c:numRef>
              <c:f>Housing!$C$94:$EH$94</c:f>
              <c:numCache>
                <c:formatCode>_("$"* #,##0_);_("$"* \(#,##0\);_("$"* "-"??_);_(@_)</c:formatCode>
                <c:ptCount val="136"/>
                <c:pt idx="0">
                  <c:v>236463.342336756</c:v>
                </c:pt>
                <c:pt idx="1">
                  <c:v>237852.37521388201</c:v>
                </c:pt>
                <c:pt idx="2">
                  <c:v>240012.97238703101</c:v>
                </c:pt>
                <c:pt idx="3">
                  <c:v>242368.60857514301</c:v>
                </c:pt>
                <c:pt idx="4">
                  <c:v>244988.38019130201</c:v>
                </c:pt>
                <c:pt idx="5">
                  <c:v>247211.460435938</c:v>
                </c:pt>
                <c:pt idx="6">
                  <c:v>249182.159208264</c:v>
                </c:pt>
                <c:pt idx="7">
                  <c:v>250481.668095275</c:v>
                </c:pt>
                <c:pt idx="8">
                  <c:v>251941.30244832599</c:v>
                </c:pt>
                <c:pt idx="9">
                  <c:v>253641.61363478401</c:v>
                </c:pt>
                <c:pt idx="10">
                  <c:v>256793.111690007</c:v>
                </c:pt>
                <c:pt idx="11">
                  <c:v>260147.030735462</c:v>
                </c:pt>
                <c:pt idx="12">
                  <c:v>263929.158884492</c:v>
                </c:pt>
                <c:pt idx="13">
                  <c:v>267371.31101663399</c:v>
                </c:pt>
                <c:pt idx="14">
                  <c:v>270496.44029546302</c:v>
                </c:pt>
                <c:pt idx="15">
                  <c:v>273518.754700761</c:v>
                </c:pt>
                <c:pt idx="16">
                  <c:v>276061.01220072602</c:v>
                </c:pt>
                <c:pt idx="17">
                  <c:v>278818.97753880703</c:v>
                </c:pt>
                <c:pt idx="18">
                  <c:v>280597.15972939</c:v>
                </c:pt>
                <c:pt idx="19">
                  <c:v>281842.30229075899</c:v>
                </c:pt>
                <c:pt idx="20">
                  <c:v>282667.43882514403</c:v>
                </c:pt>
                <c:pt idx="21">
                  <c:v>284154.368388401</c:v>
                </c:pt>
                <c:pt idx="22">
                  <c:v>286539.64454242098</c:v>
                </c:pt>
                <c:pt idx="23">
                  <c:v>289719.27652503498</c:v>
                </c:pt>
                <c:pt idx="24">
                  <c:v>293274.59803327802</c:v>
                </c:pt>
                <c:pt idx="25">
                  <c:v>297098.81859173998</c:v>
                </c:pt>
                <c:pt idx="26">
                  <c:v>301215.920203057</c:v>
                </c:pt>
                <c:pt idx="27">
                  <c:v>305614.27436871902</c:v>
                </c:pt>
                <c:pt idx="28">
                  <c:v>309483.03656888998</c:v>
                </c:pt>
                <c:pt idx="29">
                  <c:v>312735.20325194899</c:v>
                </c:pt>
                <c:pt idx="30">
                  <c:v>315176.39755818999</c:v>
                </c:pt>
                <c:pt idx="31">
                  <c:v>316700.52615282399</c:v>
                </c:pt>
                <c:pt idx="32">
                  <c:v>317551.191033696</c:v>
                </c:pt>
                <c:pt idx="33">
                  <c:v>318121.07165668003</c:v>
                </c:pt>
                <c:pt idx="34">
                  <c:v>319875.54430004302</c:v>
                </c:pt>
                <c:pt idx="35">
                  <c:v>322349.32841820898</c:v>
                </c:pt>
                <c:pt idx="36">
                  <c:v>325158.83785021101</c:v>
                </c:pt>
                <c:pt idx="37">
                  <c:v>327585.58882819099</c:v>
                </c:pt>
                <c:pt idx="38">
                  <c:v>330523.21359956998</c:v>
                </c:pt>
                <c:pt idx="39">
                  <c:v>333265.28666532401</c:v>
                </c:pt>
                <c:pt idx="40">
                  <c:v>336139.07533924503</c:v>
                </c:pt>
                <c:pt idx="41">
                  <c:v>338045.58644112397</c:v>
                </c:pt>
                <c:pt idx="42">
                  <c:v>340162.49814533</c:v>
                </c:pt>
                <c:pt idx="43">
                  <c:v>342027.63833732199</c:v>
                </c:pt>
                <c:pt idx="44">
                  <c:v>343805.12173618702</c:v>
                </c:pt>
                <c:pt idx="45">
                  <c:v>345224.09907605301</c:v>
                </c:pt>
                <c:pt idx="46">
                  <c:v>346811.24361643399</c:v>
                </c:pt>
                <c:pt idx="47">
                  <c:v>348369.23799355299</c:v>
                </c:pt>
                <c:pt idx="48">
                  <c:v>349323.46347507398</c:v>
                </c:pt>
                <c:pt idx="49">
                  <c:v>349418.00381423999</c:v>
                </c:pt>
                <c:pt idx="50">
                  <c:v>349163.80840977799</c:v>
                </c:pt>
                <c:pt idx="51">
                  <c:v>348561.08744993998</c:v>
                </c:pt>
                <c:pt idx="52">
                  <c:v>347315.837951097</c:v>
                </c:pt>
                <c:pt idx="53">
                  <c:v>346492.97630841599</c:v>
                </c:pt>
                <c:pt idx="54">
                  <c:v>346484.71065474598</c:v>
                </c:pt>
                <c:pt idx="55">
                  <c:v>346829.22993546602</c:v>
                </c:pt>
                <c:pt idx="56">
                  <c:v>346647.25800181198</c:v>
                </c:pt>
                <c:pt idx="57">
                  <c:v>346800.87947506597</c:v>
                </c:pt>
                <c:pt idx="58">
                  <c:v>347166.36574559199</c:v>
                </c:pt>
                <c:pt idx="59">
                  <c:v>348007.47661441797</c:v>
                </c:pt>
                <c:pt idx="60">
                  <c:v>350100.256920307</c:v>
                </c:pt>
                <c:pt idx="61">
                  <c:v>353369.28973435302</c:v>
                </c:pt>
                <c:pt idx="62">
                  <c:v>356660.36201219202</c:v>
                </c:pt>
                <c:pt idx="63">
                  <c:v>357791.532664078</c:v>
                </c:pt>
                <c:pt idx="64">
                  <c:v>357429.58055447898</c:v>
                </c:pt>
                <c:pt idx="65">
                  <c:v>356636.40647306701</c:v>
                </c:pt>
                <c:pt idx="66">
                  <c:v>357156.48799101199</c:v>
                </c:pt>
                <c:pt idx="67">
                  <c:v>359617.46629416803</c:v>
                </c:pt>
                <c:pt idx="68">
                  <c:v>363841.67992993398</c:v>
                </c:pt>
                <c:pt idx="69">
                  <c:v>368664.62636434101</c:v>
                </c:pt>
                <c:pt idx="70">
                  <c:v>373305.71766168502</c:v>
                </c:pt>
                <c:pt idx="71">
                  <c:v>377511.85219012602</c:v>
                </c:pt>
                <c:pt idx="72">
                  <c:v>381202.40576340101</c:v>
                </c:pt>
                <c:pt idx="73">
                  <c:v>385843.364109635</c:v>
                </c:pt>
                <c:pt idx="74">
                  <c:v>391025.45743492298</c:v>
                </c:pt>
                <c:pt idx="75">
                  <c:v>395982.82045691297</c:v>
                </c:pt>
                <c:pt idx="76">
                  <c:v>399983.65930446901</c:v>
                </c:pt>
                <c:pt idx="77">
                  <c:v>403179.15850892302</c:v>
                </c:pt>
                <c:pt idx="78">
                  <c:v>405669.49343875702</c:v>
                </c:pt>
                <c:pt idx="79">
                  <c:v>407346.91696140397</c:v>
                </c:pt>
                <c:pt idx="80">
                  <c:v>408036.34136651602</c:v>
                </c:pt>
                <c:pt idx="81">
                  <c:v>409608.23769327998</c:v>
                </c:pt>
                <c:pt idx="82">
                  <c:v>412204.32357959298</c:v>
                </c:pt>
                <c:pt idx="83">
                  <c:v>415859.10341841303</c:v>
                </c:pt>
                <c:pt idx="84">
                  <c:v>420809.94387698901</c:v>
                </c:pt>
                <c:pt idx="85">
                  <c:v>425877.63179289602</c:v>
                </c:pt>
                <c:pt idx="86">
                  <c:v>432006.82990373299</c:v>
                </c:pt>
                <c:pt idx="87">
                  <c:v>437835.77626683499</c:v>
                </c:pt>
                <c:pt idx="88">
                  <c:v>443960.64189531101</c:v>
                </c:pt>
                <c:pt idx="89">
                  <c:v>449236.38908075698</c:v>
                </c:pt>
                <c:pt idx="90">
                  <c:v>452012.85235464497</c:v>
                </c:pt>
                <c:pt idx="91">
                  <c:v>452236.726319957</c:v>
                </c:pt>
                <c:pt idx="92">
                  <c:v>450401.04660933401</c:v>
                </c:pt>
                <c:pt idx="93">
                  <c:v>449237.54860045499</c:v>
                </c:pt>
                <c:pt idx="94">
                  <c:v>448602.613233376</c:v>
                </c:pt>
                <c:pt idx="95">
                  <c:v>448491.94158956601</c:v>
                </c:pt>
                <c:pt idx="96">
                  <c:v>447939.16183703602</c:v>
                </c:pt>
                <c:pt idx="97">
                  <c:v>447232.70838780201</c:v>
                </c:pt>
                <c:pt idx="98">
                  <c:v>447367.84237121599</c:v>
                </c:pt>
                <c:pt idx="99">
                  <c:v>448675.74987872201</c:v>
                </c:pt>
                <c:pt idx="100">
                  <c:v>451476.32655583997</c:v>
                </c:pt>
                <c:pt idx="101">
                  <c:v>454234.46097704303</c:v>
                </c:pt>
                <c:pt idx="102">
                  <c:v>457379.27050998801</c:v>
                </c:pt>
                <c:pt idx="103">
                  <c:v>460546.93880140799</c:v>
                </c:pt>
                <c:pt idx="104">
                  <c:v>463898.480268221</c:v>
                </c:pt>
                <c:pt idx="105">
                  <c:v>467511.78072316898</c:v>
                </c:pt>
                <c:pt idx="106">
                  <c:v>470824.19284015399</c:v>
                </c:pt>
                <c:pt idx="107">
                  <c:v>473712.11610127002</c:v>
                </c:pt>
                <c:pt idx="108">
                  <c:v>475600.91991330503</c:v>
                </c:pt>
                <c:pt idx="109">
                  <c:v>477805.89257124299</c:v>
                </c:pt>
                <c:pt idx="110">
                  <c:v>480523.37079193903</c:v>
                </c:pt>
                <c:pt idx="111">
                  <c:v>483001.41141648602</c:v>
                </c:pt>
                <c:pt idx="112">
                  <c:v>484208.61993193597</c:v>
                </c:pt>
                <c:pt idx="113">
                  <c:v>484310.816229505</c:v>
                </c:pt>
                <c:pt idx="114">
                  <c:v>483429.72890451999</c:v>
                </c:pt>
                <c:pt idx="115">
                  <c:v>481940.48502251902</c:v>
                </c:pt>
                <c:pt idx="116">
                  <c:v>481007.02818328701</c:v>
                </c:pt>
                <c:pt idx="117">
                  <c:v>481004.771619212</c:v>
                </c:pt>
                <c:pt idx="118">
                  <c:v>482000.93257312599</c:v>
                </c:pt>
                <c:pt idx="119">
                  <c:v>482998.49492159701</c:v>
                </c:pt>
                <c:pt idx="120">
                  <c:v>483908.238169819</c:v>
                </c:pt>
                <c:pt idx="121">
                  <c:v>484599.26102978602</c:v>
                </c:pt>
                <c:pt idx="122">
                  <c:v>484356.019118367</c:v>
                </c:pt>
                <c:pt idx="123">
                  <c:v>483876.59422247001</c:v>
                </c:pt>
                <c:pt idx="124">
                  <c:v>482776.82594086498</c:v>
                </c:pt>
                <c:pt idx="125">
                  <c:v>481419.39386578399</c:v>
                </c:pt>
                <c:pt idx="126">
                  <c:v>480456.07692200301</c:v>
                </c:pt>
                <c:pt idx="127">
                  <c:v>479752.79853147099</c:v>
                </c:pt>
                <c:pt idx="128">
                  <c:v>480357.97230301698</c:v>
                </c:pt>
                <c:pt idx="129">
                  <c:v>481227.64624770603</c:v>
                </c:pt>
                <c:pt idx="130">
                  <c:v>482683.73250263702</c:v>
                </c:pt>
                <c:pt idx="131">
                  <c:v>483902.16684150399</c:v>
                </c:pt>
                <c:pt idx="132">
                  <c:v>484973.558113879</c:v>
                </c:pt>
                <c:pt idx="133">
                  <c:v>486062.045752201</c:v>
                </c:pt>
                <c:pt idx="134">
                  <c:v>486121.91162053897</c:v>
                </c:pt>
                <c:pt idx="135">
                  <c:v>485866.023870631</c:v>
                </c:pt>
              </c:numCache>
            </c:numRef>
          </c:val>
          <c:smooth val="1"/>
          <c:extLst>
            <c:ext xmlns:c16="http://schemas.microsoft.com/office/drawing/2014/chart" uri="{C3380CC4-5D6E-409C-BE32-E72D297353CC}">
              <c16:uniqueId val="{00000000-5567-490F-8AC6-C2458BF34060}"/>
            </c:ext>
          </c:extLst>
        </c:ser>
        <c:dLbls>
          <c:showLegendKey val="0"/>
          <c:showVal val="0"/>
          <c:showCatName val="0"/>
          <c:showSerName val="0"/>
          <c:showPercent val="0"/>
          <c:showBubbleSize val="0"/>
        </c:dLbls>
        <c:smooth val="0"/>
        <c:axId val="344059456"/>
        <c:axId val="344059936"/>
      </c:lineChart>
      <c:dateAx>
        <c:axId val="344059456"/>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crossAx val="344059936"/>
        <c:crosses val="autoZero"/>
        <c:auto val="0"/>
        <c:lblOffset val="100"/>
        <c:baseTimeUnit val="days"/>
        <c:majorUnit val="12"/>
      </c:dateAx>
      <c:valAx>
        <c:axId val="344059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crossAx val="34405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23</xdr:col>
      <xdr:colOff>308659</xdr:colOff>
      <xdr:row>19</xdr:row>
      <xdr:rowOff>347241</xdr:rowOff>
    </xdr:from>
    <xdr:to>
      <xdr:col>31</xdr:col>
      <xdr:colOff>405114</xdr:colOff>
      <xdr:row>29</xdr:row>
      <xdr:rowOff>334702</xdr:rowOff>
    </xdr:to>
    <xdr:graphicFrame macro="">
      <xdr:nvGraphicFramePr>
        <xdr:cNvPr id="3" name="Chart 2">
          <a:extLst>
            <a:ext uri="{FF2B5EF4-FFF2-40B4-BE49-F238E27FC236}">
              <a16:creationId xmlns:a16="http://schemas.microsoft.com/office/drawing/2014/main" id="{A7E49D1F-44EF-654E-3283-D7A91E59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405113</xdr:colOff>
      <xdr:row>14</xdr:row>
      <xdr:rowOff>350134</xdr:rowOff>
    </xdr:from>
    <xdr:to>
      <xdr:col>31</xdr:col>
      <xdr:colOff>115746</xdr:colOff>
      <xdr:row>20</xdr:row>
      <xdr:rowOff>83916</xdr:rowOff>
    </xdr:to>
    <xdr:graphicFrame macro="">
      <xdr:nvGraphicFramePr>
        <xdr:cNvPr id="4" name="Chart 3">
          <a:extLst>
            <a:ext uri="{FF2B5EF4-FFF2-40B4-BE49-F238E27FC236}">
              <a16:creationId xmlns:a16="http://schemas.microsoft.com/office/drawing/2014/main" id="{E281CD0A-BB69-1506-DE52-C68115FF3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347241</xdr:colOff>
      <xdr:row>26</xdr:row>
      <xdr:rowOff>70412</xdr:rowOff>
    </xdr:from>
    <xdr:to>
      <xdr:col>31</xdr:col>
      <xdr:colOff>57874</xdr:colOff>
      <xdr:row>38</xdr:row>
      <xdr:rowOff>315410</xdr:rowOff>
    </xdr:to>
    <xdr:graphicFrame macro="">
      <xdr:nvGraphicFramePr>
        <xdr:cNvPr id="6" name="Chart 5">
          <a:extLst>
            <a:ext uri="{FF2B5EF4-FFF2-40B4-BE49-F238E27FC236}">
              <a16:creationId xmlns:a16="http://schemas.microsoft.com/office/drawing/2014/main" id="{0245C54F-68DF-C16C-698C-46FD60B21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198120</xdr:colOff>
      <xdr:row>0</xdr:row>
      <xdr:rowOff>224790</xdr:rowOff>
    </xdr:from>
    <xdr:to>
      <xdr:col>21</xdr:col>
      <xdr:colOff>502920</xdr:colOff>
      <xdr:row>8</xdr:row>
      <xdr:rowOff>110490</xdr:rowOff>
    </xdr:to>
    <xdr:graphicFrame macro="">
      <xdr:nvGraphicFramePr>
        <xdr:cNvPr id="2" name="Chart 1">
          <a:extLst>
            <a:ext uri="{FF2B5EF4-FFF2-40B4-BE49-F238E27FC236}">
              <a16:creationId xmlns:a16="http://schemas.microsoft.com/office/drawing/2014/main" id="{8F4AD783-33BB-5B22-DE6B-11F2F846E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7</xdr:row>
      <xdr:rowOff>72390</xdr:rowOff>
    </xdr:from>
    <xdr:to>
      <xdr:col>21</xdr:col>
      <xdr:colOff>495300</xdr:colOff>
      <xdr:row>17</xdr:row>
      <xdr:rowOff>64770</xdr:rowOff>
    </xdr:to>
    <xdr:graphicFrame macro="">
      <xdr:nvGraphicFramePr>
        <xdr:cNvPr id="4" name="Chart 3">
          <a:extLst>
            <a:ext uri="{FF2B5EF4-FFF2-40B4-BE49-F238E27FC236}">
              <a16:creationId xmlns:a16="http://schemas.microsoft.com/office/drawing/2014/main" id="{930D54DA-ED34-410F-56E6-CE5B3B40F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350520</xdr:colOff>
      <xdr:row>16</xdr:row>
      <xdr:rowOff>171450</xdr:rowOff>
    </xdr:from>
    <xdr:to>
      <xdr:col>19</xdr:col>
      <xdr:colOff>480060</xdr:colOff>
      <xdr:row>39</xdr:row>
      <xdr:rowOff>76200</xdr:rowOff>
    </xdr:to>
    <xdr:graphicFrame macro="">
      <xdr:nvGraphicFramePr>
        <xdr:cNvPr id="7" name="Chart 6">
          <a:extLst>
            <a:ext uri="{FF2B5EF4-FFF2-40B4-BE49-F238E27FC236}">
              <a16:creationId xmlns:a16="http://schemas.microsoft.com/office/drawing/2014/main" id="{FCA4FD63-6FE0-3958-9B24-4FAB6D94F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31012</xdr:colOff>
      <xdr:row>42</xdr:row>
      <xdr:rowOff>134679</xdr:rowOff>
    </xdr:from>
    <xdr:to>
      <xdr:col>18</xdr:col>
      <xdr:colOff>323407</xdr:colOff>
      <xdr:row>50</xdr:row>
      <xdr:rowOff>77972</xdr:rowOff>
    </xdr:to>
    <xdr:graphicFrame macro="">
      <xdr:nvGraphicFramePr>
        <xdr:cNvPr id="8" name="Chart 7">
          <a:extLst>
            <a:ext uri="{FF2B5EF4-FFF2-40B4-BE49-F238E27FC236}">
              <a16:creationId xmlns:a16="http://schemas.microsoft.com/office/drawing/2014/main" id="{C81DC3EF-918A-1945-7036-076357E92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482896</xdr:colOff>
      <xdr:row>42</xdr:row>
      <xdr:rowOff>116958</xdr:rowOff>
    </xdr:from>
    <xdr:to>
      <xdr:col>26</xdr:col>
      <xdr:colOff>163919</xdr:colOff>
      <xdr:row>50</xdr:row>
      <xdr:rowOff>60251</xdr:rowOff>
    </xdr:to>
    <xdr:graphicFrame macro="">
      <xdr:nvGraphicFramePr>
        <xdr:cNvPr id="10" name="Chart 9">
          <a:extLst>
            <a:ext uri="{FF2B5EF4-FFF2-40B4-BE49-F238E27FC236}">
              <a16:creationId xmlns:a16="http://schemas.microsoft.com/office/drawing/2014/main" id="{809A902F-6E28-D7FC-DC2D-91DD7BB19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22149</xdr:colOff>
      <xdr:row>49</xdr:row>
      <xdr:rowOff>719470</xdr:rowOff>
    </xdr:from>
    <xdr:to>
      <xdr:col>20</xdr:col>
      <xdr:colOff>106325</xdr:colOff>
      <xdr:row>64</xdr:row>
      <xdr:rowOff>221512</xdr:rowOff>
    </xdr:to>
    <xdr:graphicFrame macro="">
      <xdr:nvGraphicFramePr>
        <xdr:cNvPr id="11" name="Chart 10">
          <a:extLst>
            <a:ext uri="{FF2B5EF4-FFF2-40B4-BE49-F238E27FC236}">
              <a16:creationId xmlns:a16="http://schemas.microsoft.com/office/drawing/2014/main" id="{0D4A5B6F-71F8-6178-373D-837B04689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110755</xdr:colOff>
      <xdr:row>49</xdr:row>
      <xdr:rowOff>684027</xdr:rowOff>
    </xdr:from>
    <xdr:to>
      <xdr:col>28</xdr:col>
      <xdr:colOff>505045</xdr:colOff>
      <xdr:row>64</xdr:row>
      <xdr:rowOff>194929</xdr:rowOff>
    </xdr:to>
    <xdr:graphicFrame macro="">
      <xdr:nvGraphicFramePr>
        <xdr:cNvPr id="12" name="Chart 11">
          <a:extLst>
            <a:ext uri="{FF2B5EF4-FFF2-40B4-BE49-F238E27FC236}">
              <a16:creationId xmlns:a16="http://schemas.microsoft.com/office/drawing/2014/main" id="{64DA9E60-57B8-1FCD-C449-1A36E22C1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342194</xdr:colOff>
      <xdr:row>64</xdr:row>
      <xdr:rowOff>91722</xdr:rowOff>
    </xdr:from>
    <xdr:to>
      <xdr:col>13</xdr:col>
      <xdr:colOff>14111</xdr:colOff>
      <xdr:row>76</xdr:row>
      <xdr:rowOff>98778</xdr:rowOff>
    </xdr:to>
    <xdr:graphicFrame macro="">
      <xdr:nvGraphicFramePr>
        <xdr:cNvPr id="14" name="Chart 13">
          <a:extLst>
            <a:ext uri="{FF2B5EF4-FFF2-40B4-BE49-F238E27FC236}">
              <a16:creationId xmlns:a16="http://schemas.microsoft.com/office/drawing/2014/main" id="{63DE30CB-BEC1-001C-4FE1-1C416D21F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102306</xdr:colOff>
      <xdr:row>64</xdr:row>
      <xdr:rowOff>113594</xdr:rowOff>
    </xdr:from>
    <xdr:to>
      <xdr:col>20</xdr:col>
      <xdr:colOff>515055</xdr:colOff>
      <xdr:row>76</xdr:row>
      <xdr:rowOff>148166</xdr:rowOff>
    </xdr:to>
    <xdr:graphicFrame macro="">
      <xdr:nvGraphicFramePr>
        <xdr:cNvPr id="15" name="Chart 14">
          <a:extLst>
            <a:ext uri="{FF2B5EF4-FFF2-40B4-BE49-F238E27FC236}">
              <a16:creationId xmlns:a16="http://schemas.microsoft.com/office/drawing/2014/main" id="{62F7A1EC-106C-40D3-CD1A-4F69B6860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433137</xdr:colOff>
      <xdr:row>79</xdr:row>
      <xdr:rowOff>88232</xdr:rowOff>
    </xdr:from>
    <xdr:to>
      <xdr:col>12</xdr:col>
      <xdr:colOff>144379</xdr:colOff>
      <xdr:row>93</xdr:row>
      <xdr:rowOff>40106</xdr:rowOff>
    </xdr:to>
    <xdr:graphicFrame macro="">
      <xdr:nvGraphicFramePr>
        <xdr:cNvPr id="5" name="Chart 4">
          <a:extLst>
            <a:ext uri="{FF2B5EF4-FFF2-40B4-BE49-F238E27FC236}">
              <a16:creationId xmlns:a16="http://schemas.microsoft.com/office/drawing/2014/main" id="{E6F063C5-CFE4-34B7-FB37-F1838609B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256674</xdr:colOff>
      <xdr:row>79</xdr:row>
      <xdr:rowOff>136358</xdr:rowOff>
    </xdr:from>
    <xdr:to>
      <xdr:col>19</xdr:col>
      <xdr:colOff>561474</xdr:colOff>
      <xdr:row>93</xdr:row>
      <xdr:rowOff>88232</xdr:rowOff>
    </xdr:to>
    <xdr:graphicFrame macro="">
      <xdr:nvGraphicFramePr>
        <xdr:cNvPr id="6" name="Chart 5">
          <a:extLst>
            <a:ext uri="{FF2B5EF4-FFF2-40B4-BE49-F238E27FC236}">
              <a16:creationId xmlns:a16="http://schemas.microsoft.com/office/drawing/2014/main" id="{8AB2D19F-6CCB-36AE-3B73-1DBE86197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449179</xdr:colOff>
      <xdr:row>87</xdr:row>
      <xdr:rowOff>16042</xdr:rowOff>
    </xdr:from>
    <xdr:to>
      <xdr:col>12</xdr:col>
      <xdr:colOff>160421</xdr:colOff>
      <xdr:row>101</xdr:row>
      <xdr:rowOff>176463</xdr:rowOff>
    </xdr:to>
    <xdr:graphicFrame macro="">
      <xdr:nvGraphicFramePr>
        <xdr:cNvPr id="13" name="Chart 12">
          <a:extLst>
            <a:ext uri="{FF2B5EF4-FFF2-40B4-BE49-F238E27FC236}">
              <a16:creationId xmlns:a16="http://schemas.microsoft.com/office/drawing/2014/main" id="{5958AD4B-79F3-03AD-BD9B-01374E6A6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192506</xdr:colOff>
      <xdr:row>87</xdr:row>
      <xdr:rowOff>112296</xdr:rowOff>
    </xdr:from>
    <xdr:to>
      <xdr:col>19</xdr:col>
      <xdr:colOff>497306</xdr:colOff>
      <xdr:row>102</xdr:row>
      <xdr:rowOff>88233</xdr:rowOff>
    </xdr:to>
    <xdr:graphicFrame macro="">
      <xdr:nvGraphicFramePr>
        <xdr:cNvPr id="16" name="Chart 15">
          <a:extLst>
            <a:ext uri="{FF2B5EF4-FFF2-40B4-BE49-F238E27FC236}">
              <a16:creationId xmlns:a16="http://schemas.microsoft.com/office/drawing/2014/main" id="{84DE083B-BB44-3E46-1D4D-816D3BF41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28575</xdr:colOff>
      <xdr:row>3</xdr:row>
      <xdr:rowOff>185737</xdr:rowOff>
    </xdr:from>
    <xdr:to>
      <xdr:col>12</xdr:col>
      <xdr:colOff>333375</xdr:colOff>
      <xdr:row>18</xdr:row>
      <xdr:rowOff>33337</xdr:rowOff>
    </xdr:to>
    <xdr:graphicFrame macro="">
      <xdr:nvGraphicFramePr>
        <xdr:cNvPr id="2" name="Chart 1">
          <a:extLst>
            <a:ext uri="{FF2B5EF4-FFF2-40B4-BE49-F238E27FC236}">
              <a16:creationId xmlns:a16="http://schemas.microsoft.com/office/drawing/2014/main" id="{96A477E0-E64F-1328-D3E0-5B836000C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823912</xdr:colOff>
      <xdr:row>18</xdr:row>
      <xdr:rowOff>157162</xdr:rowOff>
    </xdr:from>
    <xdr:to>
      <xdr:col>13</xdr:col>
      <xdr:colOff>285750</xdr:colOff>
      <xdr:row>32</xdr:row>
      <xdr:rowOff>157162</xdr:rowOff>
    </xdr:to>
    <xdr:graphicFrame macro="">
      <xdr:nvGraphicFramePr>
        <xdr:cNvPr id="3" name="Chart 2">
          <a:extLst>
            <a:ext uri="{FF2B5EF4-FFF2-40B4-BE49-F238E27FC236}">
              <a16:creationId xmlns:a16="http://schemas.microsoft.com/office/drawing/2014/main" id="{7884FB95-FBEA-1B42-BCD4-623C2ADBD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319087</xdr:colOff>
      <xdr:row>34</xdr:row>
      <xdr:rowOff>71437</xdr:rowOff>
    </xdr:from>
    <xdr:to>
      <xdr:col>17</xdr:col>
      <xdr:colOff>319087</xdr:colOff>
      <xdr:row>46</xdr:row>
      <xdr:rowOff>109537</xdr:rowOff>
    </xdr:to>
    <xdr:graphicFrame macro="">
      <xdr:nvGraphicFramePr>
        <xdr:cNvPr id="4" name="Chart 3">
          <a:extLst>
            <a:ext uri="{FF2B5EF4-FFF2-40B4-BE49-F238E27FC236}">
              <a16:creationId xmlns:a16="http://schemas.microsoft.com/office/drawing/2014/main" id="{7525CA69-4E0C-D1A7-2E17-9CE3F7ED6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357187</xdr:colOff>
      <xdr:row>47</xdr:row>
      <xdr:rowOff>23812</xdr:rowOff>
    </xdr:from>
    <xdr:to>
      <xdr:col>17</xdr:col>
      <xdr:colOff>357187</xdr:colOff>
      <xdr:row>61</xdr:row>
      <xdr:rowOff>61912</xdr:rowOff>
    </xdr:to>
    <xdr:graphicFrame macro="">
      <xdr:nvGraphicFramePr>
        <xdr:cNvPr id="5" name="Chart 4">
          <a:extLst>
            <a:ext uri="{FF2B5EF4-FFF2-40B4-BE49-F238E27FC236}">
              <a16:creationId xmlns:a16="http://schemas.microsoft.com/office/drawing/2014/main" id="{D558C23F-970E-78E6-DC04-DDD704F1A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457200</xdr:colOff>
      <xdr:row>75</xdr:row>
      <xdr:rowOff>138112</xdr:rowOff>
    </xdr:from>
    <xdr:to>
      <xdr:col>18</xdr:col>
      <xdr:colOff>457200</xdr:colOff>
      <xdr:row>90</xdr:row>
      <xdr:rowOff>4762</xdr:rowOff>
    </xdr:to>
    <xdr:graphicFrame macro="">
      <xdr:nvGraphicFramePr>
        <xdr:cNvPr id="6" name="Chart 5">
          <a:extLst>
            <a:ext uri="{FF2B5EF4-FFF2-40B4-BE49-F238E27FC236}">
              <a16:creationId xmlns:a16="http://schemas.microsoft.com/office/drawing/2014/main" id="{2F218695-CE93-D413-1463-E23C3938F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419100</xdr:colOff>
      <xdr:row>95</xdr:row>
      <xdr:rowOff>100012</xdr:rowOff>
    </xdr:from>
    <xdr:to>
      <xdr:col>10</xdr:col>
      <xdr:colOff>276225</xdr:colOff>
      <xdr:row>109</xdr:row>
      <xdr:rowOff>176212</xdr:rowOff>
    </xdr:to>
    <xdr:graphicFrame macro="">
      <xdr:nvGraphicFramePr>
        <xdr:cNvPr id="7" name="Chart 6">
          <a:extLst>
            <a:ext uri="{FF2B5EF4-FFF2-40B4-BE49-F238E27FC236}">
              <a16:creationId xmlns:a16="http://schemas.microsoft.com/office/drawing/2014/main" id="{6F7F82A3-A36C-BAE7-9444-F8E81E7CC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BB66F-168A-433F-9F7E-A94D88B4DE1F}" name="Table1" displayName="Table1" ref="B14:F19" totalsRowShown="0" headerRowDxfId="18" dataDxfId="16" headerRowBorderDxfId="17" tableBorderDxfId="15">
  <autoFilter ref="B14:F19" xr:uid="{519BB66F-168A-433F-9F7E-A94D88B4DE1F}"/>
  <tableColumns count="5">
    <tableColumn id="1" xr3:uid="{602DC5F0-28E1-473A-998E-6ADB82410A3A}" name="Rank" dataDxfId="14"/>
    <tableColumn id="2" xr3:uid="{4EC791F7-13BF-4F66-90CE-EABDC6BDDE6F}" name="School" dataDxfId="13"/>
    <tableColumn id="3" xr3:uid="{6B359813-B0E5-46C9-900C-62728CC983D6}" name="2025 Percentile" dataDxfId="12"/>
    <tableColumn id="4" xr3:uid="{15BCBE21-B305-4623-BB24-F5536E530E7D}" name="Rating" dataDxfId="11"/>
    <tableColumn id="5" xr3:uid="{CF8E23D7-D90D-4A50-91C3-D3DC44D4D062}" name="Assessment"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D4BB18-B0DF-4632-8B2F-4565E42B5523}" name="Table2" displayName="Table2" ref="I15:P20" totalsRowShown="0" headerRowDxfId="9" dataDxfId="8">
  <autoFilter ref="I15:P20" xr:uid="{45D4BB18-B0DF-4632-8B2F-4565E42B5523}"/>
  <tableColumns count="8">
    <tableColumn id="1" xr3:uid="{778CC32C-4B54-4853-AD4B-563F9ED7EBC7}" name="School" dataDxfId="7"/>
    <tableColumn id="2" xr3:uid="{C0FC1707-3341-4404-AB6F-33A386625F0C}" name="Level" dataDxfId="6"/>
    <tableColumn id="3" xr3:uid="{50347343-63E2-4B00-9694-1093A2F49158}" name="Enrollment" dataDxfId="5"/>
    <tableColumn id="4" xr3:uid="{3C9E1DBF-7DB1-4CE2-B7EE-8454B5090EF2}" name="Student-Teacher Ratio" dataDxfId="4"/>
    <tableColumn id="5" xr3:uid="{FE44819A-E7B9-4E80-9D91-97CA002BD13D}" name="Free/Reduced Lunch" dataDxfId="3"/>
    <tableColumn id="6" xr3:uid="{AC1A0634-350C-49C9-954B-5AF5EA3E1AA1}" name="SchoolDigger Rating (2025)" dataDxfId="2"/>
    <tableColumn id="7" xr3:uid="{6BA60DAD-FE2D-4552-A99C-F562D0B68557}" name="Students Meeting Standards (2024–25)" dataDxfId="1"/>
    <tableColumn id="8" xr3:uid="{0DDF23E3-48A3-401D-8A7A-2512A6719077}" name="Georgia State Rank (2025)"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Georgia Tech">
    <a:dk1>
      <a:sysClr val="windowText" lastClr="000000"/>
    </a:dk1>
    <a:lt1>
      <a:sysClr val="window" lastClr="FFFFFF"/>
    </a:lt1>
    <a:dk2>
      <a:srgbClr val="003057"/>
    </a:dk2>
    <a:lt2>
      <a:srgbClr val="F9F6E5"/>
    </a:lt2>
    <a:accent1>
      <a:srgbClr val="D6DBD4"/>
    </a:accent1>
    <a:accent2>
      <a:srgbClr val="3A5DAE"/>
    </a:accent2>
    <a:accent3>
      <a:srgbClr val="FFCD00"/>
    </a:accent3>
    <a:accent4>
      <a:srgbClr val="54585A"/>
    </a:accent4>
    <a:accent5>
      <a:srgbClr val="B3A369"/>
    </a:accent5>
    <a:accent6>
      <a:srgbClr val="008C95"/>
    </a:accent6>
    <a:hlink>
      <a:srgbClr val="A4D233"/>
    </a:hlink>
    <a:folHlink>
      <a:srgbClr val="E04F3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8A75-6296-4027-A096-7F1AC00458F9}">
  <sheetPr>
    <tabColor rgb="FFD7ECCC"/>
  </sheetPr>
  <dimension ref="A1:AF90"/>
  <sheetViews>
    <sheetView zoomScale="88" workbookViewId="0">
      <selection activeCell="A74" sqref="A74"/>
    </sheetView>
  </sheetViews>
  <sheetFormatPr baseColWidth="10" defaultColWidth="8.83203125" defaultRowHeight="15"/>
  <cols>
    <col min="1" max="1" width="43.5" customWidth="1"/>
    <col min="2" max="2" width="17.5" customWidth="1"/>
    <col min="3" max="3" width="12.1640625" customWidth="1"/>
    <col min="4" max="4" width="12.5" customWidth="1"/>
    <col min="5" max="5" width="12.83203125" bestFit="1" customWidth="1"/>
    <col min="6" max="6" width="16.6640625" customWidth="1"/>
    <col min="7" max="7" width="13.1640625" customWidth="1"/>
    <col min="8" max="8" width="12.83203125" bestFit="1" customWidth="1"/>
    <col min="9" max="9" width="9.33203125" bestFit="1" customWidth="1"/>
    <col min="10" max="10" width="9" bestFit="1" customWidth="1"/>
    <col min="11" max="13" width="12.83203125" bestFit="1" customWidth="1"/>
    <col min="14" max="14" width="9" bestFit="1" customWidth="1"/>
    <col min="15" max="16" width="9.1640625" bestFit="1" customWidth="1"/>
    <col min="17" max="17" width="17.6640625" customWidth="1"/>
    <col min="19" max="20" width="12.6640625" bestFit="1" customWidth="1"/>
  </cols>
  <sheetData>
    <row r="1" spans="1:32" ht="32">
      <c r="A1" s="143" t="s">
        <v>285</v>
      </c>
      <c r="B1" s="140" t="s">
        <v>310</v>
      </c>
    </row>
    <row r="2" spans="1:32" ht="59" customHeight="1">
      <c r="A2" s="238" t="s">
        <v>311</v>
      </c>
      <c r="B2" s="128"/>
      <c r="C2" s="126" t="s">
        <v>286</v>
      </c>
      <c r="D2" s="126" t="s">
        <v>305</v>
      </c>
      <c r="E2" s="126" t="s">
        <v>287</v>
      </c>
      <c r="F2" s="126" t="s">
        <v>288</v>
      </c>
      <c r="G2" s="126" t="s">
        <v>289</v>
      </c>
      <c r="H2" s="126" t="s">
        <v>306</v>
      </c>
      <c r="I2" s="126" t="s">
        <v>290</v>
      </c>
      <c r="J2" s="126" t="s">
        <v>288</v>
      </c>
      <c r="K2" s="126" t="s">
        <v>291</v>
      </c>
      <c r="L2" s="126" t="s">
        <v>307</v>
      </c>
      <c r="M2" s="126" t="s">
        <v>292</v>
      </c>
      <c r="N2" s="126" t="s">
        <v>288</v>
      </c>
      <c r="O2" s="126" t="s">
        <v>293</v>
      </c>
      <c r="P2" s="126" t="s">
        <v>308</v>
      </c>
      <c r="Q2" s="126" t="s">
        <v>294</v>
      </c>
      <c r="R2" s="137" t="s">
        <v>288</v>
      </c>
      <c r="S2" s="137" t="s">
        <v>295</v>
      </c>
      <c r="T2" s="137" t="s">
        <v>309</v>
      </c>
      <c r="U2" s="137" t="s">
        <v>296</v>
      </c>
      <c r="V2" s="137" t="s">
        <v>288</v>
      </c>
      <c r="W2" s="134"/>
      <c r="X2" s="134"/>
      <c r="Y2" s="134"/>
      <c r="Z2" s="134"/>
      <c r="AA2" s="134"/>
      <c r="AB2" s="134"/>
      <c r="AC2" s="134"/>
      <c r="AD2" s="134"/>
      <c r="AE2" s="134"/>
      <c r="AF2" s="134"/>
    </row>
    <row r="3" spans="1:32">
      <c r="A3" s="238"/>
      <c r="B3" s="128" t="s">
        <v>17</v>
      </c>
      <c r="C3" s="129">
        <v>5895</v>
      </c>
      <c r="D3" s="129">
        <v>6585</v>
      </c>
      <c r="E3" s="133">
        <v>7014</v>
      </c>
      <c r="F3" s="138">
        <v>0.19</v>
      </c>
      <c r="G3" s="129">
        <v>2887</v>
      </c>
      <c r="H3" s="133">
        <v>2806</v>
      </c>
      <c r="I3" s="129">
        <v>2864</v>
      </c>
      <c r="J3" s="138">
        <v>-8.0000000000000002E-3</v>
      </c>
      <c r="K3" s="133">
        <v>11924</v>
      </c>
      <c r="L3" s="133">
        <v>11872</v>
      </c>
      <c r="M3" s="133">
        <v>11598</v>
      </c>
      <c r="N3" s="138">
        <v>-2.7E-2</v>
      </c>
      <c r="O3" s="129">
        <v>5255</v>
      </c>
      <c r="P3" s="129">
        <v>5648</v>
      </c>
      <c r="Q3" s="133">
        <v>6968</v>
      </c>
      <c r="R3" s="138">
        <v>0.32600000000000001</v>
      </c>
      <c r="S3" s="133">
        <v>1693</v>
      </c>
      <c r="T3" s="133">
        <v>2221</v>
      </c>
      <c r="U3" s="129">
        <v>2841</v>
      </c>
      <c r="V3" s="138">
        <v>0.67800000000000005</v>
      </c>
      <c r="W3" s="136"/>
      <c r="X3" s="135"/>
      <c r="Y3" s="135"/>
      <c r="Z3" s="135"/>
      <c r="AA3" s="136"/>
      <c r="AB3" s="136"/>
      <c r="AC3" s="136"/>
      <c r="AD3" s="135"/>
      <c r="AE3" s="135"/>
      <c r="AF3" s="135"/>
    </row>
    <row r="4" spans="1:32">
      <c r="A4" s="238"/>
      <c r="B4" s="128" t="s">
        <v>24</v>
      </c>
      <c r="C4" s="129">
        <v>169974</v>
      </c>
      <c r="D4" s="129">
        <v>177918</v>
      </c>
      <c r="E4" s="133">
        <v>174042</v>
      </c>
      <c r="F4" s="138">
        <v>2.4E-2</v>
      </c>
      <c r="G4" s="129">
        <v>67037</v>
      </c>
      <c r="H4" s="133">
        <v>64515</v>
      </c>
      <c r="I4" s="129">
        <v>64931</v>
      </c>
      <c r="J4" s="138">
        <v>-3.1E-2</v>
      </c>
      <c r="K4" s="133">
        <v>228174</v>
      </c>
      <c r="L4" s="133">
        <v>234673</v>
      </c>
      <c r="M4" s="133">
        <v>235867</v>
      </c>
      <c r="N4" s="138">
        <v>3.4000000000000002E-2</v>
      </c>
      <c r="O4" s="129">
        <v>181060</v>
      </c>
      <c r="P4" s="129">
        <v>177590</v>
      </c>
      <c r="Q4" s="133">
        <v>185235</v>
      </c>
      <c r="R4" s="138">
        <v>2.3E-2</v>
      </c>
      <c r="S4" s="133">
        <v>71086</v>
      </c>
      <c r="T4" s="133">
        <v>90365</v>
      </c>
      <c r="U4" s="129">
        <v>105276</v>
      </c>
      <c r="V4" s="138">
        <v>0.48099999999999998</v>
      </c>
      <c r="W4" s="136"/>
      <c r="X4" s="135"/>
      <c r="Y4" s="135"/>
      <c r="Z4" s="135"/>
      <c r="AA4" s="136"/>
      <c r="AB4" s="136"/>
      <c r="AC4" s="136"/>
      <c r="AD4" s="135"/>
      <c r="AE4" s="135"/>
      <c r="AF4" s="135"/>
    </row>
    <row r="5" spans="1:32">
      <c r="A5" s="238"/>
      <c r="B5" s="128" t="s">
        <v>215</v>
      </c>
      <c r="C5" s="129">
        <v>1419646</v>
      </c>
      <c r="D5" s="129">
        <v>1431892</v>
      </c>
      <c r="E5" s="133">
        <v>1473479</v>
      </c>
      <c r="F5" s="138">
        <v>3.7999999999999999E-2</v>
      </c>
      <c r="G5" s="129">
        <v>518854</v>
      </c>
      <c r="H5" s="133">
        <v>566919</v>
      </c>
      <c r="I5" s="129">
        <v>569819</v>
      </c>
      <c r="J5" s="138">
        <v>9.8000000000000004E-2</v>
      </c>
      <c r="K5" s="133">
        <v>1600389</v>
      </c>
      <c r="L5" s="133">
        <v>1708848</v>
      </c>
      <c r="M5" s="133">
        <v>1760828</v>
      </c>
      <c r="N5" s="138">
        <v>0.1</v>
      </c>
      <c r="O5" s="129">
        <v>1425938</v>
      </c>
      <c r="P5" s="129">
        <v>1534779</v>
      </c>
      <c r="Q5" s="133">
        <v>1612277</v>
      </c>
      <c r="R5" s="138">
        <v>0.13100000000000001</v>
      </c>
      <c r="S5" s="133">
        <v>569010</v>
      </c>
      <c r="T5" s="133">
        <v>709183</v>
      </c>
      <c r="U5" s="129">
        <v>839972</v>
      </c>
      <c r="V5" s="138">
        <v>0.47599999999999998</v>
      </c>
      <c r="W5" s="136"/>
      <c r="X5" s="135"/>
      <c r="Y5" s="135"/>
      <c r="Z5" s="135"/>
      <c r="AA5" s="136"/>
      <c r="AB5" s="136"/>
      <c r="AC5" s="136"/>
      <c r="AD5" s="135"/>
      <c r="AE5" s="135"/>
      <c r="AF5" s="135"/>
    </row>
    <row r="6" spans="1:32">
      <c r="A6" s="238"/>
      <c r="B6" s="128" t="s">
        <v>297</v>
      </c>
      <c r="C6" s="129">
        <v>2491080</v>
      </c>
      <c r="D6" s="129">
        <v>2437874</v>
      </c>
      <c r="E6" s="133">
        <v>2541498</v>
      </c>
      <c r="F6" s="138">
        <v>0.02</v>
      </c>
      <c r="G6" s="129">
        <v>1015408</v>
      </c>
      <c r="H6" s="133">
        <v>1014840</v>
      </c>
      <c r="I6" s="129">
        <v>1039088</v>
      </c>
      <c r="J6" s="138">
        <v>2.3E-2</v>
      </c>
      <c r="K6" s="133">
        <v>2749479</v>
      </c>
      <c r="L6" s="133">
        <v>2847824</v>
      </c>
      <c r="M6" s="133">
        <v>2975575</v>
      </c>
      <c r="N6" s="138">
        <v>8.2000000000000003E-2</v>
      </c>
      <c r="O6" s="129">
        <v>2560259</v>
      </c>
      <c r="P6" s="129">
        <v>2664203</v>
      </c>
      <c r="Q6" s="133">
        <v>2748247</v>
      </c>
      <c r="R6" s="138">
        <v>7.2999999999999995E-2</v>
      </c>
      <c r="S6" s="133">
        <v>1190467</v>
      </c>
      <c r="T6" s="133">
        <v>1462319</v>
      </c>
      <c r="U6" s="129">
        <v>1636809</v>
      </c>
      <c r="V6" s="138">
        <v>0.375</v>
      </c>
      <c r="W6" s="136"/>
      <c r="X6" s="135"/>
      <c r="Y6" s="135"/>
      <c r="Z6" s="135"/>
      <c r="AA6" s="136"/>
      <c r="AB6" s="136"/>
      <c r="AC6" s="136"/>
      <c r="AD6" s="135"/>
      <c r="AE6" s="135"/>
      <c r="AF6" s="135"/>
    </row>
    <row r="7" spans="1:32">
      <c r="A7" s="238"/>
    </row>
    <row r="8" spans="1:32" ht="60" customHeight="1">
      <c r="A8" s="238"/>
      <c r="B8" s="127"/>
      <c r="C8" s="126" t="s">
        <v>286</v>
      </c>
      <c r="D8" s="126" t="s">
        <v>305</v>
      </c>
      <c r="E8" s="126" t="s">
        <v>287</v>
      </c>
      <c r="F8" s="126" t="s">
        <v>288</v>
      </c>
      <c r="G8" s="126" t="s">
        <v>289</v>
      </c>
      <c r="H8" s="126" t="s">
        <v>306</v>
      </c>
      <c r="I8" s="126" t="s">
        <v>290</v>
      </c>
      <c r="J8" s="126" t="s">
        <v>288</v>
      </c>
      <c r="K8" s="126" t="s">
        <v>291</v>
      </c>
      <c r="L8" s="126" t="s">
        <v>307</v>
      </c>
      <c r="M8" s="126" t="s">
        <v>292</v>
      </c>
      <c r="N8" s="126" t="s">
        <v>288</v>
      </c>
      <c r="O8" s="126" t="s">
        <v>293</v>
      </c>
      <c r="P8" s="126" t="s">
        <v>308</v>
      </c>
      <c r="Q8" s="126" t="s">
        <v>294</v>
      </c>
      <c r="R8" s="126" t="s">
        <v>288</v>
      </c>
      <c r="S8" s="126" t="s">
        <v>295</v>
      </c>
      <c r="T8" s="126" t="s">
        <v>309</v>
      </c>
      <c r="U8" s="126" t="s">
        <v>296</v>
      </c>
      <c r="V8" s="126" t="s">
        <v>288</v>
      </c>
    </row>
    <row r="9" spans="1:32">
      <c r="A9" s="238"/>
      <c r="B9" s="128" t="s">
        <v>301</v>
      </c>
      <c r="C9" s="129">
        <v>12297</v>
      </c>
      <c r="D9" s="129">
        <v>13691</v>
      </c>
      <c r="E9" s="131">
        <v>13334</v>
      </c>
      <c r="F9" s="138">
        <v>8.4000000000000005E-2</v>
      </c>
      <c r="G9" s="131">
        <v>3962</v>
      </c>
      <c r="H9" s="129">
        <v>3748</v>
      </c>
      <c r="I9" s="131">
        <v>4066</v>
      </c>
      <c r="J9" s="138">
        <v>2.5999999999999999E-2</v>
      </c>
      <c r="K9" s="131">
        <v>21141</v>
      </c>
      <c r="L9" s="129">
        <v>21257</v>
      </c>
      <c r="M9" s="131">
        <v>21031</v>
      </c>
      <c r="N9" s="141">
        <v>-5.0000000000000001E-3</v>
      </c>
      <c r="O9" s="129">
        <v>10994</v>
      </c>
      <c r="P9" s="129">
        <v>12406</v>
      </c>
      <c r="Q9" s="129">
        <v>12757</v>
      </c>
      <c r="R9" s="141">
        <v>0.16</v>
      </c>
      <c r="S9" s="129">
        <v>3941</v>
      </c>
      <c r="T9" s="129">
        <v>5507</v>
      </c>
      <c r="U9" s="129">
        <v>6086</v>
      </c>
      <c r="V9" s="141">
        <v>0.54400000000000004</v>
      </c>
    </row>
    <row r="10" spans="1:32">
      <c r="A10" s="238"/>
      <c r="B10" s="128" t="s">
        <v>17</v>
      </c>
      <c r="C10" s="129">
        <v>5895</v>
      </c>
      <c r="D10" s="129">
        <v>6585</v>
      </c>
      <c r="E10" s="131">
        <v>7014</v>
      </c>
      <c r="F10" s="138">
        <v>0.19</v>
      </c>
      <c r="G10" s="131">
        <v>2887</v>
      </c>
      <c r="H10" s="129">
        <v>2806</v>
      </c>
      <c r="I10" s="131">
        <v>2864</v>
      </c>
      <c r="J10" s="138">
        <v>-8.0000000000000002E-3</v>
      </c>
      <c r="K10" s="131">
        <v>11924</v>
      </c>
      <c r="L10" s="129">
        <v>11872</v>
      </c>
      <c r="M10" s="131">
        <v>11598</v>
      </c>
      <c r="N10" s="141">
        <v>-2.7E-2</v>
      </c>
      <c r="O10" s="129">
        <v>5255</v>
      </c>
      <c r="P10" s="129">
        <v>5648</v>
      </c>
      <c r="Q10" s="129">
        <v>6968</v>
      </c>
      <c r="R10" s="141">
        <v>0.32600000000000001</v>
      </c>
      <c r="S10" s="129">
        <v>1693</v>
      </c>
      <c r="T10" s="129">
        <v>2221</v>
      </c>
      <c r="U10" s="129">
        <v>2841</v>
      </c>
      <c r="V10" s="141">
        <v>0.67800000000000005</v>
      </c>
    </row>
    <row r="11" spans="1:32">
      <c r="A11" s="238"/>
      <c r="B11" s="128" t="s">
        <v>302</v>
      </c>
      <c r="C11" s="129">
        <v>2193</v>
      </c>
      <c r="D11" s="129">
        <v>2519</v>
      </c>
      <c r="E11" s="131">
        <v>2885</v>
      </c>
      <c r="F11" s="138">
        <v>0.316</v>
      </c>
      <c r="G11" s="131">
        <v>990</v>
      </c>
      <c r="H11" s="129">
        <v>715</v>
      </c>
      <c r="I11" s="131">
        <v>867</v>
      </c>
      <c r="J11" s="138">
        <v>-0.124</v>
      </c>
      <c r="K11" s="131">
        <v>3897</v>
      </c>
      <c r="L11" s="129">
        <v>3066</v>
      </c>
      <c r="M11" s="131">
        <v>3399</v>
      </c>
      <c r="N11" s="141">
        <v>-0.128</v>
      </c>
      <c r="O11" s="129">
        <v>2277</v>
      </c>
      <c r="P11" s="129">
        <v>2360</v>
      </c>
      <c r="Q11" s="129">
        <v>2692</v>
      </c>
      <c r="R11" s="141">
        <v>0.182</v>
      </c>
      <c r="S11" s="128">
        <v>640</v>
      </c>
      <c r="T11" s="129">
        <v>1084</v>
      </c>
      <c r="U11" s="129">
        <v>1291</v>
      </c>
      <c r="V11" s="138">
        <v>1.0169999999999999</v>
      </c>
    </row>
    <row r="12" spans="1:32">
      <c r="A12" s="238"/>
      <c r="B12" s="128" t="s">
        <v>303</v>
      </c>
      <c r="C12" s="129">
        <v>11991</v>
      </c>
      <c r="D12" s="129">
        <v>12834</v>
      </c>
      <c r="E12" s="131">
        <v>12712</v>
      </c>
      <c r="F12" s="138">
        <v>0.06</v>
      </c>
      <c r="G12" s="131">
        <v>2372</v>
      </c>
      <c r="H12" s="129">
        <v>2866</v>
      </c>
      <c r="I12" s="131">
        <v>3637</v>
      </c>
      <c r="J12" s="138">
        <v>0.53300000000000003</v>
      </c>
      <c r="K12" s="131">
        <v>16223</v>
      </c>
      <c r="L12" s="129">
        <v>15694</v>
      </c>
      <c r="M12" s="131">
        <v>16487</v>
      </c>
      <c r="N12" s="141">
        <v>1.6E-2</v>
      </c>
      <c r="O12" s="129">
        <v>11100</v>
      </c>
      <c r="P12" s="129">
        <v>10924</v>
      </c>
      <c r="Q12" s="129">
        <v>11954</v>
      </c>
      <c r="R12" s="141">
        <v>7.6999999999999999E-2</v>
      </c>
      <c r="S12" s="129">
        <v>6031</v>
      </c>
      <c r="T12" s="129">
        <v>7148</v>
      </c>
      <c r="U12" s="129">
        <v>6968</v>
      </c>
      <c r="V12" s="141">
        <v>0.155</v>
      </c>
    </row>
    <row r="13" spans="1:32">
      <c r="A13" s="238"/>
      <c r="B13" s="128" t="s">
        <v>304</v>
      </c>
      <c r="C13" s="129">
        <v>19221</v>
      </c>
      <c r="D13" s="129">
        <v>18932</v>
      </c>
      <c r="E13" s="131">
        <v>19715</v>
      </c>
      <c r="F13" s="138">
        <v>2.5999999999999999E-2</v>
      </c>
      <c r="G13" s="131">
        <v>7354</v>
      </c>
      <c r="H13" s="129">
        <v>8174</v>
      </c>
      <c r="I13" s="131">
        <v>7302</v>
      </c>
      <c r="J13" s="138">
        <v>-7.0000000000000001E-3</v>
      </c>
      <c r="K13" s="131">
        <v>34486</v>
      </c>
      <c r="L13" s="129">
        <v>38053</v>
      </c>
      <c r="M13" s="131">
        <v>38698</v>
      </c>
      <c r="N13" s="141">
        <v>0.122</v>
      </c>
      <c r="O13" s="129">
        <v>23901</v>
      </c>
      <c r="P13" s="129">
        <v>26350</v>
      </c>
      <c r="Q13" s="129">
        <v>26062</v>
      </c>
      <c r="R13" s="141">
        <v>0.09</v>
      </c>
      <c r="S13" s="129">
        <v>12465</v>
      </c>
      <c r="T13" s="129">
        <v>14958</v>
      </c>
      <c r="U13" s="129">
        <v>15310</v>
      </c>
      <c r="V13" s="141">
        <v>0.22800000000000001</v>
      </c>
    </row>
    <row r="15" spans="1:32" s="125" customFormat="1"/>
    <row r="17" spans="1:14" ht="16">
      <c r="A17" s="143" t="s">
        <v>312</v>
      </c>
    </row>
    <row r="18" spans="1:14" ht="48">
      <c r="A18" s="238" t="s">
        <v>311</v>
      </c>
      <c r="B18" s="145"/>
      <c r="C18" s="126" t="s">
        <v>313</v>
      </c>
      <c r="D18" s="126" t="s">
        <v>314</v>
      </c>
      <c r="E18" s="126" t="s">
        <v>315</v>
      </c>
      <c r="F18" s="126" t="s">
        <v>288</v>
      </c>
      <c r="G18" s="126" t="s">
        <v>316</v>
      </c>
      <c r="H18" s="126" t="s">
        <v>317</v>
      </c>
      <c r="I18" s="126" t="s">
        <v>318</v>
      </c>
      <c r="J18" s="126" t="s">
        <v>288</v>
      </c>
      <c r="K18" s="126" t="s">
        <v>319</v>
      </c>
      <c r="L18" s="126" t="s">
        <v>320</v>
      </c>
      <c r="M18" s="126" t="s">
        <v>321</v>
      </c>
      <c r="N18" s="126" t="s">
        <v>288</v>
      </c>
    </row>
    <row r="19" spans="1:14">
      <c r="A19" s="238"/>
      <c r="B19" s="128" t="s">
        <v>17</v>
      </c>
      <c r="C19" s="128">
        <v>31.2</v>
      </c>
      <c r="D19" s="128">
        <v>33.299999999999997</v>
      </c>
      <c r="E19" s="128">
        <v>33.6</v>
      </c>
      <c r="F19" s="141">
        <v>7.6999999999999999E-2</v>
      </c>
      <c r="G19" s="128">
        <v>31.1</v>
      </c>
      <c r="H19" s="128">
        <v>33.299999999999997</v>
      </c>
      <c r="I19" s="128">
        <v>33</v>
      </c>
      <c r="J19" s="141">
        <v>6.0999999999999999E-2</v>
      </c>
      <c r="K19" s="128">
        <v>31.5</v>
      </c>
      <c r="L19" s="128">
        <v>33.299999999999997</v>
      </c>
      <c r="M19" s="128">
        <v>34.299999999999997</v>
      </c>
      <c r="N19" s="141">
        <v>8.8999999999999996E-2</v>
      </c>
    </row>
    <row r="20" spans="1:14">
      <c r="A20" s="238"/>
      <c r="B20" s="128" t="s">
        <v>24</v>
      </c>
      <c r="C20" s="128">
        <v>35.1</v>
      </c>
      <c r="D20" s="128">
        <v>35.9</v>
      </c>
      <c r="E20" s="128">
        <v>36.4</v>
      </c>
      <c r="F20" s="141">
        <v>3.6999999999999998E-2</v>
      </c>
      <c r="G20" s="128">
        <v>33.799999999999997</v>
      </c>
      <c r="H20" s="128">
        <v>34.700000000000003</v>
      </c>
      <c r="I20" s="128">
        <v>35.4</v>
      </c>
      <c r="J20" s="141">
        <v>4.7E-2</v>
      </c>
      <c r="K20" s="128">
        <v>36.4</v>
      </c>
      <c r="L20" s="128">
        <v>37.1</v>
      </c>
      <c r="M20" s="128">
        <v>37.6</v>
      </c>
      <c r="N20" s="141">
        <v>3.3000000000000002E-2</v>
      </c>
    </row>
    <row r="21" spans="1:14">
      <c r="A21" s="238"/>
      <c r="B21" s="128" t="s">
        <v>215</v>
      </c>
      <c r="C21" s="128">
        <v>35.700000000000003</v>
      </c>
      <c r="D21" s="128">
        <v>36.6</v>
      </c>
      <c r="E21" s="128">
        <v>37.200000000000003</v>
      </c>
      <c r="F21" s="141">
        <v>4.2000000000000003E-2</v>
      </c>
      <c r="G21" s="128">
        <v>34.5</v>
      </c>
      <c r="H21" s="128">
        <v>35.4</v>
      </c>
      <c r="I21" s="128">
        <v>36.1</v>
      </c>
      <c r="J21" s="141">
        <v>4.5999999999999999E-2</v>
      </c>
      <c r="K21" s="128">
        <v>36.700000000000003</v>
      </c>
      <c r="L21" s="128">
        <v>37.6</v>
      </c>
      <c r="M21" s="128">
        <v>38.299999999999997</v>
      </c>
      <c r="N21" s="141">
        <v>4.3999999999999997E-2</v>
      </c>
    </row>
    <row r="22" spans="1:14">
      <c r="A22" s="238"/>
      <c r="B22" s="128" t="s">
        <v>297</v>
      </c>
      <c r="C22" s="128">
        <v>35.9</v>
      </c>
      <c r="D22" s="128">
        <v>36.9</v>
      </c>
      <c r="E22" s="128">
        <v>37.6</v>
      </c>
      <c r="F22" s="141">
        <v>4.7E-2</v>
      </c>
      <c r="G22" s="128">
        <v>34.6</v>
      </c>
      <c r="H22" s="128">
        <v>35.5</v>
      </c>
      <c r="I22" s="128">
        <v>36.299999999999997</v>
      </c>
      <c r="J22" s="141">
        <v>4.9000000000000002E-2</v>
      </c>
      <c r="K22" s="128">
        <v>37.200000000000003</v>
      </c>
      <c r="L22" s="128">
        <v>38.200000000000003</v>
      </c>
      <c r="M22" s="128">
        <v>38.799999999999997</v>
      </c>
      <c r="N22" s="141">
        <v>4.2999999999999997E-2</v>
      </c>
    </row>
    <row r="23" spans="1:14">
      <c r="A23" s="238"/>
    </row>
    <row r="24" spans="1:14" ht="48">
      <c r="A24" s="238"/>
      <c r="B24" s="128"/>
      <c r="C24" s="126" t="s">
        <v>313</v>
      </c>
      <c r="D24" s="126" t="s">
        <v>314</v>
      </c>
      <c r="E24" s="126" t="s">
        <v>315</v>
      </c>
      <c r="F24" s="126" t="s">
        <v>288</v>
      </c>
      <c r="G24" s="126" t="s">
        <v>316</v>
      </c>
      <c r="H24" s="126" t="s">
        <v>317</v>
      </c>
      <c r="I24" s="126" t="s">
        <v>318</v>
      </c>
      <c r="J24" s="126" t="s">
        <v>288</v>
      </c>
      <c r="K24" s="126" t="s">
        <v>319</v>
      </c>
      <c r="L24" s="126" t="s">
        <v>320</v>
      </c>
      <c r="M24" s="126" t="s">
        <v>321</v>
      </c>
      <c r="N24" s="126" t="s">
        <v>288</v>
      </c>
    </row>
    <row r="25" spans="1:14">
      <c r="A25" s="238"/>
      <c r="B25" s="128" t="s">
        <v>301</v>
      </c>
      <c r="C25" s="128">
        <v>33.6</v>
      </c>
      <c r="D25" s="128">
        <v>34.4</v>
      </c>
      <c r="E25" s="128">
        <v>34.1</v>
      </c>
      <c r="F25" s="141">
        <v>1.4999999999999999E-2</v>
      </c>
      <c r="G25" s="128">
        <v>33.799999999999997</v>
      </c>
      <c r="H25" s="128">
        <v>34.700000000000003</v>
      </c>
      <c r="I25" s="128">
        <v>34.700000000000003</v>
      </c>
      <c r="J25" s="141">
        <v>2.7E-2</v>
      </c>
      <c r="K25" s="128">
        <v>33.5</v>
      </c>
      <c r="L25" s="128">
        <v>34.200000000000003</v>
      </c>
      <c r="M25" s="128">
        <v>33.700000000000003</v>
      </c>
      <c r="N25" s="141">
        <v>6.0000000000000001E-3</v>
      </c>
    </row>
    <row r="26" spans="1:14">
      <c r="A26" s="238"/>
      <c r="B26" s="128" t="s">
        <v>17</v>
      </c>
      <c r="C26" s="128">
        <v>31.2</v>
      </c>
      <c r="D26" s="128">
        <v>33.299999999999997</v>
      </c>
      <c r="E26" s="128">
        <v>33.6</v>
      </c>
      <c r="F26" s="141">
        <v>7.6999999999999999E-2</v>
      </c>
      <c r="G26" s="128">
        <v>31.1</v>
      </c>
      <c r="H26" s="128">
        <v>33.299999999999997</v>
      </c>
      <c r="I26" s="128">
        <v>33</v>
      </c>
      <c r="J26" s="141">
        <v>6.0999999999999999E-2</v>
      </c>
      <c r="K26" s="128">
        <v>31.5</v>
      </c>
      <c r="L26" s="128">
        <v>33.299999999999997</v>
      </c>
      <c r="M26" s="128">
        <v>34.299999999999997</v>
      </c>
      <c r="N26" s="141">
        <v>8.8999999999999996E-2</v>
      </c>
    </row>
    <row r="27" spans="1:14">
      <c r="A27" s="238"/>
      <c r="B27" s="128" t="s">
        <v>302</v>
      </c>
      <c r="C27" s="128">
        <v>31.8</v>
      </c>
      <c r="D27" s="128">
        <v>32.6</v>
      </c>
      <c r="E27" s="128">
        <v>35.1</v>
      </c>
      <c r="F27" s="141">
        <v>0.104</v>
      </c>
      <c r="G27" s="128">
        <v>31.4</v>
      </c>
      <c r="H27" s="128">
        <v>32</v>
      </c>
      <c r="I27" s="128">
        <v>34.200000000000003</v>
      </c>
      <c r="J27" s="141">
        <v>8.8999999999999996E-2</v>
      </c>
      <c r="K27" s="128">
        <v>32.700000000000003</v>
      </c>
      <c r="L27" s="128">
        <v>33</v>
      </c>
      <c r="M27" s="128">
        <v>36.200000000000003</v>
      </c>
      <c r="N27" s="141">
        <v>0.107</v>
      </c>
    </row>
    <row r="28" spans="1:14">
      <c r="A28" s="238"/>
      <c r="B28" s="128" t="s">
        <v>303</v>
      </c>
      <c r="C28" s="128">
        <v>36.5</v>
      </c>
      <c r="D28" s="128">
        <v>36.700000000000003</v>
      </c>
      <c r="E28" s="128">
        <v>37</v>
      </c>
      <c r="F28" s="141">
        <v>1.4E-2</v>
      </c>
      <c r="G28" s="128">
        <v>36.4</v>
      </c>
      <c r="H28" s="128">
        <v>35.6</v>
      </c>
      <c r="I28" s="128">
        <v>36</v>
      </c>
      <c r="J28" s="141">
        <v>-1.0999999999999999E-2</v>
      </c>
      <c r="K28" s="128">
        <v>36.5</v>
      </c>
      <c r="L28" s="128">
        <v>38.200000000000003</v>
      </c>
      <c r="M28" s="128">
        <v>38.299999999999997</v>
      </c>
      <c r="N28" s="141">
        <v>4.9000000000000002E-2</v>
      </c>
    </row>
    <row r="29" spans="1:14">
      <c r="A29" s="238"/>
      <c r="B29" s="128" t="s">
        <v>304</v>
      </c>
      <c r="C29" s="128">
        <v>35.6</v>
      </c>
      <c r="D29" s="128">
        <v>36.700000000000003</v>
      </c>
      <c r="E29" s="128">
        <v>36.799999999999997</v>
      </c>
      <c r="F29" s="141">
        <v>3.4000000000000002E-2</v>
      </c>
      <c r="G29" s="128">
        <v>34.4</v>
      </c>
      <c r="H29" s="128">
        <v>35.799999999999997</v>
      </c>
      <c r="I29" s="128">
        <v>36.299999999999997</v>
      </c>
      <c r="J29" s="141">
        <v>5.5E-2</v>
      </c>
      <c r="K29" s="128">
        <v>36.799999999999997</v>
      </c>
      <c r="L29" s="128">
        <v>38</v>
      </c>
      <c r="M29" s="128">
        <v>37.6</v>
      </c>
      <c r="N29" s="141">
        <v>2.1999999999999999E-2</v>
      </c>
    </row>
    <row r="31" spans="1:14" s="125" customFormat="1"/>
    <row r="33" spans="1:20" ht="16">
      <c r="A33" s="143" t="s">
        <v>322</v>
      </c>
      <c r="B33" s="109" t="s">
        <v>335</v>
      </c>
    </row>
    <row r="34" spans="1:20" ht="48">
      <c r="A34" s="238" t="s">
        <v>311</v>
      </c>
      <c r="B34" s="128"/>
      <c r="C34" s="126" t="s">
        <v>323</v>
      </c>
      <c r="D34" s="126" t="s">
        <v>324</v>
      </c>
      <c r="E34" s="126" t="s">
        <v>288</v>
      </c>
      <c r="F34" s="126" t="s">
        <v>325</v>
      </c>
      <c r="G34" s="126" t="s">
        <v>326</v>
      </c>
      <c r="H34" s="126" t="s">
        <v>288</v>
      </c>
      <c r="I34" s="126" t="s">
        <v>327</v>
      </c>
      <c r="J34" s="126" t="s">
        <v>328</v>
      </c>
      <c r="K34" s="126" t="s">
        <v>288</v>
      </c>
      <c r="L34" s="126" t="s">
        <v>329</v>
      </c>
      <c r="M34" s="126" t="s">
        <v>330</v>
      </c>
      <c r="N34" s="126" t="s">
        <v>288</v>
      </c>
      <c r="O34" s="126" t="s">
        <v>331</v>
      </c>
      <c r="P34" s="126" t="s">
        <v>332</v>
      </c>
      <c r="Q34" s="126" t="s">
        <v>288</v>
      </c>
      <c r="R34" s="126" t="s">
        <v>333</v>
      </c>
      <c r="S34" s="126" t="s">
        <v>334</v>
      </c>
      <c r="T34" s="126" t="s">
        <v>288</v>
      </c>
    </row>
    <row r="35" spans="1:20">
      <c r="A35" s="238"/>
      <c r="B35" s="128" t="s">
        <v>17</v>
      </c>
      <c r="C35" s="132">
        <v>0.35799999999999998</v>
      </c>
      <c r="D35" s="132">
        <v>0.34399999999999997</v>
      </c>
      <c r="E35" s="138">
        <v>-1.4E-2</v>
      </c>
      <c r="F35" s="130">
        <v>0.13700000000000001</v>
      </c>
      <c r="G35" s="132">
        <v>0.182</v>
      </c>
      <c r="H35" s="138">
        <v>4.4999999999999998E-2</v>
      </c>
      <c r="I35" s="132">
        <v>7.4999999999999997E-2</v>
      </c>
      <c r="J35" s="130">
        <v>8.6999999999999994E-2</v>
      </c>
      <c r="K35" s="138">
        <v>1.2E-2</v>
      </c>
      <c r="L35" s="132">
        <v>0</v>
      </c>
      <c r="M35" s="132">
        <v>0</v>
      </c>
      <c r="N35" s="141">
        <v>0</v>
      </c>
      <c r="O35" s="132">
        <v>2.1000000000000001E-2</v>
      </c>
      <c r="P35" s="132">
        <v>8.4000000000000005E-2</v>
      </c>
      <c r="Q35" s="138">
        <v>6.3E-2</v>
      </c>
      <c r="R35" s="130">
        <v>0.60599999999999998</v>
      </c>
      <c r="S35" s="130">
        <v>0.65300000000000002</v>
      </c>
      <c r="T35" s="141">
        <v>4.7E-2</v>
      </c>
    </row>
    <row r="36" spans="1:20">
      <c r="A36" s="238"/>
      <c r="B36" s="128" t="s">
        <v>24</v>
      </c>
      <c r="C36" s="132">
        <v>0.29699999999999999</v>
      </c>
      <c r="D36" s="132">
        <v>0.29099999999999998</v>
      </c>
      <c r="E36" s="138">
        <v>-6.0000000000000001E-3</v>
      </c>
      <c r="F36" s="130">
        <v>0.23</v>
      </c>
      <c r="G36" s="132">
        <v>0.28399999999999997</v>
      </c>
      <c r="H36" s="138">
        <v>5.3999999999999999E-2</v>
      </c>
      <c r="I36" s="132">
        <v>5.7000000000000002E-2</v>
      </c>
      <c r="J36" s="130">
        <v>6.0999999999999999E-2</v>
      </c>
      <c r="K36" s="138">
        <v>4.0000000000000001E-3</v>
      </c>
      <c r="L36" s="132">
        <v>4.0000000000000001E-3</v>
      </c>
      <c r="M36" s="132">
        <v>6.0000000000000001E-3</v>
      </c>
      <c r="N36" s="141">
        <v>0.2</v>
      </c>
      <c r="O36" s="132">
        <v>3.0000000000000001E-3</v>
      </c>
      <c r="P36" s="132">
        <v>1.4999999999999999E-2</v>
      </c>
      <c r="Q36" s="138">
        <v>1.2E-2</v>
      </c>
      <c r="R36" s="130">
        <v>0.89</v>
      </c>
      <c r="S36" s="130">
        <v>0.91600000000000004</v>
      </c>
      <c r="T36" s="141">
        <v>2.5999999999999999E-2</v>
      </c>
    </row>
    <row r="37" spans="1:20">
      <c r="A37" s="238"/>
      <c r="B37" s="128" t="s">
        <v>215</v>
      </c>
      <c r="C37" s="132">
        <v>0.49399999999999999</v>
      </c>
      <c r="D37" s="132">
        <v>0.436</v>
      </c>
      <c r="E37" s="138">
        <v>-5.8000000000000003E-2</v>
      </c>
      <c r="F37" s="130">
        <v>0.2</v>
      </c>
      <c r="G37" s="132">
        <v>0.218</v>
      </c>
      <c r="H37" s="138">
        <v>1.7999999999999999E-2</v>
      </c>
      <c r="I37" s="132">
        <v>5.2999999999999999E-2</v>
      </c>
      <c r="J37" s="130">
        <v>0.06</v>
      </c>
      <c r="K37" s="138">
        <v>7.0000000000000001E-3</v>
      </c>
      <c r="L37" s="132">
        <v>3.0000000000000001E-3</v>
      </c>
      <c r="M37" s="132">
        <v>7.0000000000000001E-3</v>
      </c>
      <c r="N37" s="141">
        <v>0.4</v>
      </c>
      <c r="O37" s="132">
        <v>4.0000000000000001E-3</v>
      </c>
      <c r="P37" s="132">
        <v>5.0999999999999997E-2</v>
      </c>
      <c r="Q37" s="138">
        <v>4.7E-2</v>
      </c>
      <c r="R37" s="130">
        <v>0.89500000000000002</v>
      </c>
      <c r="S37" s="130">
        <v>0.89300000000000002</v>
      </c>
      <c r="T37" s="141">
        <v>-2E-3</v>
      </c>
    </row>
    <row r="38" spans="1:20">
      <c r="A38" s="238"/>
      <c r="B38" s="128" t="s">
        <v>297</v>
      </c>
      <c r="C38" s="132">
        <v>0.56399999999999995</v>
      </c>
      <c r="D38" s="132">
        <v>0.52100000000000002</v>
      </c>
      <c r="E38" s="138">
        <v>-4.2999999999999997E-2</v>
      </c>
      <c r="F38" s="130">
        <v>0.27500000000000002</v>
      </c>
      <c r="G38" s="132">
        <v>0.311</v>
      </c>
      <c r="H38" s="138">
        <v>3.5999999999999997E-2</v>
      </c>
      <c r="I38" s="132">
        <v>3.5999999999999997E-2</v>
      </c>
      <c r="J38" s="130">
        <v>4.1000000000000002E-2</v>
      </c>
      <c r="K38" s="138">
        <v>5.0000000000000001E-3</v>
      </c>
      <c r="L38" s="132">
        <v>2E-3</v>
      </c>
      <c r="M38" s="132">
        <v>6.0000000000000001E-3</v>
      </c>
      <c r="N38" s="141">
        <v>0.4</v>
      </c>
      <c r="O38" s="132">
        <v>4.0000000000000001E-3</v>
      </c>
      <c r="P38" s="132">
        <v>1.2999999999999999E-2</v>
      </c>
      <c r="Q38" s="138">
        <v>8.9999999999999993E-3</v>
      </c>
      <c r="R38" s="130">
        <v>0.90900000000000003</v>
      </c>
      <c r="S38" s="130">
        <v>0.90400000000000003</v>
      </c>
      <c r="T38" s="141">
        <v>-5.0000000000000001E-3</v>
      </c>
    </row>
    <row r="39" spans="1:20">
      <c r="A39" s="238"/>
      <c r="F39" s="146"/>
      <c r="O39" s="147"/>
      <c r="P39" s="147"/>
    </row>
    <row r="40" spans="1:20" ht="48">
      <c r="A40" s="238"/>
      <c r="B40" s="127"/>
      <c r="C40" s="126" t="s">
        <v>323</v>
      </c>
      <c r="D40" s="126" t="s">
        <v>324</v>
      </c>
      <c r="E40" s="126" t="s">
        <v>288</v>
      </c>
      <c r="F40" s="126" t="s">
        <v>325</v>
      </c>
      <c r="G40" s="126" t="s">
        <v>326</v>
      </c>
      <c r="H40" s="126" t="s">
        <v>288</v>
      </c>
      <c r="I40" s="126" t="s">
        <v>327</v>
      </c>
      <c r="J40" s="126" t="s">
        <v>328</v>
      </c>
      <c r="K40" s="126" t="s">
        <v>288</v>
      </c>
      <c r="L40" s="126" t="s">
        <v>329</v>
      </c>
      <c r="M40" s="126" t="s">
        <v>330</v>
      </c>
      <c r="N40" s="126" t="s">
        <v>288</v>
      </c>
      <c r="O40" s="126" t="s">
        <v>331</v>
      </c>
      <c r="P40" s="126" t="s">
        <v>332</v>
      </c>
      <c r="Q40" s="126" t="s">
        <v>288</v>
      </c>
      <c r="R40" s="126" t="s">
        <v>333</v>
      </c>
      <c r="S40" s="126" t="s">
        <v>334</v>
      </c>
      <c r="T40" s="126" t="s">
        <v>288</v>
      </c>
    </row>
    <row r="41" spans="1:20">
      <c r="A41" s="238"/>
      <c r="B41" s="128" t="s">
        <v>301</v>
      </c>
      <c r="C41" s="130">
        <v>0.57199999999999995</v>
      </c>
      <c r="D41" s="130">
        <v>0.52</v>
      </c>
      <c r="E41" s="141">
        <v>-5.1999999999999998E-2</v>
      </c>
      <c r="F41" s="130">
        <v>9.6000000000000002E-2</v>
      </c>
      <c r="G41" s="130">
        <v>0.14299999999999999</v>
      </c>
      <c r="H41" s="141">
        <v>4.7E-2</v>
      </c>
      <c r="I41" s="130">
        <v>5.6000000000000001E-2</v>
      </c>
      <c r="J41" s="130">
        <v>7.3999999999999996E-2</v>
      </c>
      <c r="K41" s="141">
        <v>1.7999999999999999E-2</v>
      </c>
      <c r="L41" s="130">
        <v>5.0000000000000001E-3</v>
      </c>
      <c r="M41" s="130">
        <v>4.0000000000000001E-3</v>
      </c>
      <c r="N41" s="138">
        <v>-1E-3</v>
      </c>
      <c r="O41" s="130">
        <v>3.0000000000000001E-3</v>
      </c>
      <c r="P41" s="130">
        <v>0.10299999999999999</v>
      </c>
      <c r="Q41" s="141">
        <v>0.1</v>
      </c>
      <c r="R41" s="130">
        <v>0.79100000000000004</v>
      </c>
      <c r="S41" s="130">
        <v>0.77</v>
      </c>
      <c r="T41" s="141">
        <v>-2.1000000000000001E-2</v>
      </c>
    </row>
    <row r="42" spans="1:20">
      <c r="A42" s="238"/>
      <c r="B42" s="128" t="s">
        <v>17</v>
      </c>
      <c r="C42" s="130">
        <v>0.35799999999999998</v>
      </c>
      <c r="D42" s="130">
        <v>0.34399999999999997</v>
      </c>
      <c r="E42" s="141">
        <v>-1.4E-2</v>
      </c>
      <c r="F42" s="130">
        <v>0.13700000000000001</v>
      </c>
      <c r="G42" s="130">
        <v>0.182</v>
      </c>
      <c r="H42" s="141">
        <v>4.4999999999999998E-2</v>
      </c>
      <c r="I42" s="130">
        <v>7.4999999999999997E-2</v>
      </c>
      <c r="J42" s="130">
        <v>8.6999999999999994E-2</v>
      </c>
      <c r="K42" s="141">
        <v>1.2E-2</v>
      </c>
      <c r="L42" s="130">
        <v>0</v>
      </c>
      <c r="M42" s="130">
        <v>0</v>
      </c>
      <c r="N42" s="138">
        <v>0</v>
      </c>
      <c r="O42" s="130">
        <v>2.1000000000000001E-2</v>
      </c>
      <c r="P42" s="130">
        <v>8.4000000000000005E-2</v>
      </c>
      <c r="Q42" s="141">
        <v>6.3E-2</v>
      </c>
      <c r="R42" s="130">
        <v>0.60599999999999998</v>
      </c>
      <c r="S42" s="130">
        <v>0.65300000000000002</v>
      </c>
      <c r="T42" s="141">
        <v>4.7E-2</v>
      </c>
    </row>
    <row r="43" spans="1:20">
      <c r="A43" s="238"/>
      <c r="B43" s="128" t="s">
        <v>302</v>
      </c>
      <c r="C43" s="130">
        <v>0.20799999999999999</v>
      </c>
      <c r="D43" s="130">
        <v>0.185</v>
      </c>
      <c r="E43" s="141">
        <v>-2.3E-2</v>
      </c>
      <c r="F43" s="130">
        <v>0.114</v>
      </c>
      <c r="G43" s="130">
        <v>0.113</v>
      </c>
      <c r="H43" s="141">
        <v>-1E-3</v>
      </c>
      <c r="I43" s="130">
        <v>0.125</v>
      </c>
      <c r="J43" s="130">
        <v>0.17100000000000001</v>
      </c>
      <c r="K43" s="141">
        <v>4.5999999999999999E-2</v>
      </c>
      <c r="L43" s="130">
        <v>1.2999999999999999E-2</v>
      </c>
      <c r="M43" s="130">
        <v>0</v>
      </c>
      <c r="N43" s="138">
        <v>-1.2999999999999999E-2</v>
      </c>
      <c r="O43" s="130">
        <v>1.4999999999999999E-2</v>
      </c>
      <c r="P43" s="130">
        <v>6.9000000000000006E-2</v>
      </c>
      <c r="Q43" s="141">
        <v>5.3999999999999999E-2</v>
      </c>
      <c r="R43" s="130">
        <v>0.47699999999999998</v>
      </c>
      <c r="S43" s="130">
        <v>0.53900000000000003</v>
      </c>
      <c r="T43" s="141">
        <v>6.2E-2</v>
      </c>
    </row>
    <row r="44" spans="1:20">
      <c r="A44" s="238"/>
      <c r="B44" s="128" t="s">
        <v>303</v>
      </c>
      <c r="C44" s="130">
        <v>0.63200000000000001</v>
      </c>
      <c r="D44" s="130">
        <v>0.53700000000000003</v>
      </c>
      <c r="E44" s="141">
        <v>-9.5000000000000001E-2</v>
      </c>
      <c r="F44" s="130">
        <v>0.106</v>
      </c>
      <c r="G44" s="130">
        <v>0.154</v>
      </c>
      <c r="H44" s="141">
        <v>4.8000000000000001E-2</v>
      </c>
      <c r="I44" s="130">
        <v>0.14199999999999999</v>
      </c>
      <c r="J44" s="130">
        <v>0.14699999999999999</v>
      </c>
      <c r="K44" s="141">
        <v>5.0000000000000001E-3</v>
      </c>
      <c r="L44" s="130">
        <v>2E-3</v>
      </c>
      <c r="M44" s="130">
        <v>1.0999999999999999E-2</v>
      </c>
      <c r="N44" s="138">
        <v>8.9999999999999993E-3</v>
      </c>
      <c r="O44" s="130">
        <v>0.02</v>
      </c>
      <c r="P44" s="130">
        <v>4.2000000000000003E-2</v>
      </c>
      <c r="Q44" s="141">
        <v>2.1999999999999999E-2</v>
      </c>
      <c r="R44" s="130">
        <v>0.90300000000000002</v>
      </c>
      <c r="S44" s="130">
        <v>0.89</v>
      </c>
      <c r="T44" s="141">
        <v>-1.2999999999999999E-2</v>
      </c>
    </row>
    <row r="45" spans="1:20">
      <c r="A45" s="238"/>
      <c r="B45" s="128" t="s">
        <v>304</v>
      </c>
      <c r="C45" s="130">
        <v>0.58199999999999996</v>
      </c>
      <c r="D45" s="130">
        <v>0.54</v>
      </c>
      <c r="E45" s="141">
        <v>-4.2000000000000003E-2</v>
      </c>
      <c r="F45" s="130">
        <v>0.19400000000000001</v>
      </c>
      <c r="G45" s="130">
        <v>0.20899999999999999</v>
      </c>
      <c r="H45" s="141">
        <v>1.4999999999999999E-2</v>
      </c>
      <c r="I45" s="130">
        <v>6.5000000000000002E-2</v>
      </c>
      <c r="J45" s="130">
        <v>7.4999999999999997E-2</v>
      </c>
      <c r="K45" s="141">
        <v>0.01</v>
      </c>
      <c r="L45" s="130">
        <v>4.0000000000000001E-3</v>
      </c>
      <c r="M45" s="130">
        <v>8.9999999999999993E-3</v>
      </c>
      <c r="N45" s="138">
        <v>5.0000000000000001E-3</v>
      </c>
      <c r="O45" s="130">
        <v>1.9E-2</v>
      </c>
      <c r="P45" s="130">
        <v>4.8000000000000001E-2</v>
      </c>
      <c r="Q45" s="141">
        <v>2.9000000000000001E-2</v>
      </c>
      <c r="R45" s="130">
        <v>0.86699999999999999</v>
      </c>
      <c r="S45" s="130">
        <v>0.88200000000000001</v>
      </c>
      <c r="T45" s="141">
        <v>1.4999999999999999E-2</v>
      </c>
    </row>
    <row r="47" spans="1:20" s="125" customFormat="1"/>
    <row r="49" spans="1:6" ht="16">
      <c r="A49" s="143" t="s">
        <v>581</v>
      </c>
    </row>
    <row r="50" spans="1:6" ht="32">
      <c r="A50" s="238" t="s">
        <v>311</v>
      </c>
      <c r="B50" s="145"/>
      <c r="C50" s="126">
        <v>2015</v>
      </c>
      <c r="D50" s="126">
        <v>2020</v>
      </c>
      <c r="E50" s="126">
        <v>2024</v>
      </c>
      <c r="F50" s="126" t="s">
        <v>336</v>
      </c>
    </row>
    <row r="51" spans="1:6">
      <c r="A51" s="238"/>
      <c r="B51" s="128" t="s">
        <v>17</v>
      </c>
      <c r="C51" s="148">
        <v>26455</v>
      </c>
      <c r="D51" s="148">
        <v>38920</v>
      </c>
      <c r="E51" s="148">
        <v>48653</v>
      </c>
      <c r="F51" s="141">
        <v>0.83899999999999997</v>
      </c>
    </row>
    <row r="52" spans="1:6">
      <c r="A52" s="238"/>
      <c r="B52" s="128" t="s">
        <v>24</v>
      </c>
      <c r="C52" s="148">
        <v>29486</v>
      </c>
      <c r="D52" s="148">
        <v>37523</v>
      </c>
      <c r="E52" s="148">
        <v>46998</v>
      </c>
      <c r="F52" s="141">
        <v>0.59399999999999997</v>
      </c>
    </row>
    <row r="53" spans="1:6">
      <c r="A53" s="238"/>
      <c r="B53" s="128" t="s">
        <v>215</v>
      </c>
      <c r="C53" s="148">
        <v>29233</v>
      </c>
      <c r="D53" s="148">
        <v>36867</v>
      </c>
      <c r="E53" s="148">
        <v>46309</v>
      </c>
      <c r="F53" s="141">
        <v>0.58399999999999996</v>
      </c>
    </row>
    <row r="54" spans="1:6">
      <c r="A54" s="238"/>
      <c r="B54" s="128" t="s">
        <v>297</v>
      </c>
      <c r="C54" s="148">
        <v>25737</v>
      </c>
      <c r="D54" s="148">
        <v>32427</v>
      </c>
      <c r="E54" s="148">
        <v>40924</v>
      </c>
      <c r="F54" s="141">
        <v>0.59</v>
      </c>
    </row>
    <row r="55" spans="1:6">
      <c r="A55" s="238"/>
      <c r="B55" s="14"/>
      <c r="C55" s="14"/>
      <c r="D55" s="14"/>
      <c r="E55" s="14"/>
      <c r="F55" s="14"/>
    </row>
    <row r="56" spans="1:6" ht="32">
      <c r="A56" s="238"/>
      <c r="B56" s="128"/>
      <c r="C56" s="126">
        <v>2015</v>
      </c>
      <c r="D56" s="126">
        <v>2020</v>
      </c>
      <c r="E56" s="126">
        <v>2024</v>
      </c>
      <c r="F56" s="126" t="s">
        <v>336</v>
      </c>
    </row>
    <row r="57" spans="1:6">
      <c r="A57" s="238"/>
      <c r="B57" s="128" t="s">
        <v>301</v>
      </c>
      <c r="C57" s="148">
        <v>49247</v>
      </c>
      <c r="D57" s="148">
        <v>63704</v>
      </c>
      <c r="E57" s="148">
        <v>74759</v>
      </c>
      <c r="F57" s="141">
        <v>0.51800000000000002</v>
      </c>
    </row>
    <row r="58" spans="1:6">
      <c r="A58" s="238"/>
      <c r="B58" s="128" t="s">
        <v>17</v>
      </c>
      <c r="C58" s="148">
        <v>26455</v>
      </c>
      <c r="D58" s="148">
        <v>38920</v>
      </c>
      <c r="E58" s="148">
        <v>48653</v>
      </c>
      <c r="F58" s="141">
        <v>0.83899999999999997</v>
      </c>
    </row>
    <row r="59" spans="1:6">
      <c r="A59" s="238"/>
      <c r="B59" s="128" t="s">
        <v>302</v>
      </c>
      <c r="C59" s="148">
        <v>17590</v>
      </c>
      <c r="D59" s="148">
        <v>23447</v>
      </c>
      <c r="E59" s="148">
        <v>29630</v>
      </c>
      <c r="F59" s="141">
        <v>0.68400000000000005</v>
      </c>
    </row>
    <row r="60" spans="1:6">
      <c r="A60" s="238"/>
      <c r="B60" s="128" t="s">
        <v>303</v>
      </c>
      <c r="C60" s="148">
        <v>44671</v>
      </c>
      <c r="D60" s="148">
        <v>54428</v>
      </c>
      <c r="E60" s="148">
        <v>72129</v>
      </c>
      <c r="F60" s="141">
        <v>0.61499999999999999</v>
      </c>
    </row>
    <row r="61" spans="1:6">
      <c r="A61" s="238"/>
      <c r="B61" s="128" t="s">
        <v>304</v>
      </c>
      <c r="C61" s="148">
        <v>51827</v>
      </c>
      <c r="D61" s="148">
        <v>63927</v>
      </c>
      <c r="E61" s="148">
        <v>83136</v>
      </c>
      <c r="F61" s="141">
        <v>0.60399999999999998</v>
      </c>
    </row>
    <row r="63" spans="1:6" s="125" customFormat="1"/>
    <row r="64" spans="1:6" ht="112">
      <c r="C64" s="166" t="s">
        <v>212</v>
      </c>
      <c r="D64" s="226" t="s">
        <v>213</v>
      </c>
      <c r="E64" s="227" t="s">
        <v>214</v>
      </c>
    </row>
    <row r="65" spans="1:8" ht="37.25" customHeight="1">
      <c r="A65" s="143" t="s">
        <v>586</v>
      </c>
      <c r="C65" s="126" t="s">
        <v>588</v>
      </c>
      <c r="D65" s="229" t="s">
        <v>589</v>
      </c>
      <c r="E65" s="229" t="s">
        <v>590</v>
      </c>
      <c r="F65" s="229" t="s">
        <v>591</v>
      </c>
      <c r="G65" s="229" t="s">
        <v>592</v>
      </c>
      <c r="H65" s="229" t="s">
        <v>593</v>
      </c>
    </row>
    <row r="66" spans="1:8" ht="118.25" customHeight="1">
      <c r="A66" s="225" t="s">
        <v>350</v>
      </c>
      <c r="C66" s="204" t="s">
        <v>17</v>
      </c>
      <c r="D66" s="228" t="s">
        <v>594</v>
      </c>
      <c r="E66" s="228" t="s">
        <v>595</v>
      </c>
      <c r="F66" s="228" t="s">
        <v>595</v>
      </c>
      <c r="G66" s="228" t="s">
        <v>596</v>
      </c>
      <c r="H66" s="228" t="s">
        <v>596</v>
      </c>
    </row>
    <row r="68" spans="1:8" s="125" customFormat="1"/>
    <row r="69" spans="1:8" ht="112">
      <c r="C69" s="221" t="s">
        <v>582</v>
      </c>
      <c r="D69" s="222" t="s">
        <v>583</v>
      </c>
      <c r="E69" s="223" t="s">
        <v>214</v>
      </c>
    </row>
    <row r="70" spans="1:8" ht="16">
      <c r="A70" s="143" t="s">
        <v>586</v>
      </c>
    </row>
    <row r="71" spans="1:8" ht="139.25" customHeight="1">
      <c r="A71" s="224" t="s">
        <v>587</v>
      </c>
    </row>
    <row r="73" spans="1:8">
      <c r="A73" t="s">
        <v>597</v>
      </c>
    </row>
    <row r="76" spans="1:8" s="125" customFormat="1"/>
    <row r="77" spans="1:8" ht="144">
      <c r="C77" s="221" t="s">
        <v>584</v>
      </c>
      <c r="D77" s="222" t="s">
        <v>585</v>
      </c>
      <c r="E77" s="223" t="s">
        <v>214</v>
      </c>
    </row>
    <row r="78" spans="1:8" ht="16">
      <c r="A78" s="143" t="s">
        <v>586</v>
      </c>
    </row>
    <row r="79" spans="1:8">
      <c r="A79" s="238" t="s">
        <v>587</v>
      </c>
    </row>
    <row r="80" spans="1:8">
      <c r="A80" s="238"/>
    </row>
    <row r="81" spans="1:1">
      <c r="A81" s="238"/>
    </row>
    <row r="82" spans="1:1">
      <c r="A82" s="238"/>
    </row>
    <row r="83" spans="1:1">
      <c r="A83" s="238"/>
    </row>
    <row r="84" spans="1:1">
      <c r="A84" s="238"/>
    </row>
    <row r="85" spans="1:1">
      <c r="A85" s="238"/>
    </row>
    <row r="86" spans="1:1">
      <c r="A86" s="238"/>
    </row>
    <row r="87" spans="1:1">
      <c r="A87" s="238"/>
    </row>
    <row r="88" spans="1:1">
      <c r="A88" s="238"/>
    </row>
    <row r="89" spans="1:1">
      <c r="A89" s="238"/>
    </row>
    <row r="90" spans="1:1">
      <c r="A90" s="238"/>
    </row>
  </sheetData>
  <mergeCells count="5">
    <mergeCell ref="A79:A90"/>
    <mergeCell ref="A2:A13"/>
    <mergeCell ref="A18:A29"/>
    <mergeCell ref="A34:A45"/>
    <mergeCell ref="A50:A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A9B4F-E07F-4549-8B99-D54E79F0373E}">
  <sheetPr>
    <tabColor rgb="FFD7ECCC"/>
  </sheetPr>
  <dimension ref="A1:I61"/>
  <sheetViews>
    <sheetView topLeftCell="A41" zoomScale="80" workbookViewId="0">
      <selection activeCell="D8" sqref="D8"/>
    </sheetView>
  </sheetViews>
  <sheetFormatPr baseColWidth="10" defaultColWidth="8.83203125" defaultRowHeight="15"/>
  <cols>
    <col min="1" max="7" width="20.83203125" customWidth="1"/>
  </cols>
  <sheetData>
    <row r="1" spans="1:7" ht="40" customHeight="1">
      <c r="A1" s="239" t="s">
        <v>598</v>
      </c>
      <c r="B1" s="239"/>
      <c r="C1" s="239"/>
      <c r="D1" s="239"/>
      <c r="E1" s="239"/>
      <c r="F1" s="239"/>
      <c r="G1" s="239"/>
    </row>
    <row r="2" spans="1:7" ht="40" customHeight="1"/>
    <row r="3" spans="1:7" ht="40" customHeight="1">
      <c r="A3" s="231" t="s">
        <v>588</v>
      </c>
      <c r="B3" s="231" t="s">
        <v>599</v>
      </c>
      <c r="C3" s="231" t="s">
        <v>600</v>
      </c>
      <c r="D3" s="231" t="s">
        <v>601</v>
      </c>
      <c r="E3" s="231" t="s">
        <v>602</v>
      </c>
      <c r="F3" s="231" t="s">
        <v>603</v>
      </c>
      <c r="G3" s="231" t="s">
        <v>604</v>
      </c>
    </row>
    <row r="4" spans="1:7" ht="40" customHeight="1">
      <c r="A4" s="232" t="s">
        <v>17</v>
      </c>
      <c r="B4" s="233">
        <v>27654</v>
      </c>
      <c r="C4" s="233">
        <v>30164</v>
      </c>
      <c r="D4" s="233">
        <v>31532</v>
      </c>
      <c r="E4" s="233">
        <v>33141</v>
      </c>
      <c r="F4" s="233">
        <v>2977</v>
      </c>
      <c r="G4" s="234">
        <v>9.8693807187375679E-2</v>
      </c>
    </row>
    <row r="5" spans="1:7" ht="40" customHeight="1">
      <c r="A5" s="235" t="s">
        <v>605</v>
      </c>
      <c r="B5" s="235" t="s">
        <v>606</v>
      </c>
      <c r="C5" s="235" t="s">
        <v>607</v>
      </c>
      <c r="D5" s="235" t="s">
        <v>608</v>
      </c>
      <c r="E5" s="235" t="s">
        <v>608</v>
      </c>
      <c r="F5" s="235"/>
      <c r="G5" s="235"/>
    </row>
    <row r="6" spans="1:7" ht="40" customHeight="1"/>
    <row r="7" spans="1:7" ht="40" customHeight="1">
      <c r="A7" s="236" t="s">
        <v>609</v>
      </c>
      <c r="B7" s="237" t="s">
        <v>610</v>
      </c>
      <c r="C7" s="230"/>
      <c r="D7" s="230"/>
      <c r="E7" s="230"/>
      <c r="F7" s="230"/>
      <c r="G7" s="230"/>
    </row>
    <row r="8" spans="1:7" ht="40" customHeight="1">
      <c r="A8" s="236" t="s">
        <v>611</v>
      </c>
      <c r="B8" s="237" t="s">
        <v>612</v>
      </c>
      <c r="C8" s="230"/>
      <c r="D8" s="230"/>
      <c r="E8" s="230"/>
      <c r="F8" s="230"/>
      <c r="G8" s="230"/>
    </row>
    <row r="9" spans="1:7" ht="40" customHeight="1">
      <c r="A9" s="236" t="s">
        <v>613</v>
      </c>
      <c r="B9" s="237" t="s">
        <v>614</v>
      </c>
      <c r="C9" s="230"/>
      <c r="D9" s="230"/>
      <c r="E9" s="230"/>
      <c r="F9" s="230"/>
      <c r="G9" s="230"/>
    </row>
    <row r="10" spans="1:7" ht="40" customHeight="1">
      <c r="A10" s="236" t="s">
        <v>615</v>
      </c>
      <c r="B10" s="237" t="s">
        <v>616</v>
      </c>
      <c r="C10" s="230"/>
      <c r="D10" s="230"/>
      <c r="E10" s="230"/>
      <c r="F10" s="230"/>
      <c r="G10" s="230"/>
    </row>
    <row r="11" spans="1:7" ht="40" customHeight="1">
      <c r="A11" s="236" t="s">
        <v>617</v>
      </c>
      <c r="B11" s="237" t="s">
        <v>618</v>
      </c>
      <c r="C11" s="230"/>
      <c r="D11" s="230"/>
      <c r="E11" s="230"/>
      <c r="F11" s="230"/>
      <c r="G11" s="230"/>
    </row>
    <row r="14" spans="1:7" s="125" customFormat="1"/>
    <row r="17" spans="1:9" ht="18">
      <c r="A17" s="239" t="s">
        <v>619</v>
      </c>
      <c r="B17" s="239"/>
      <c r="C17" s="239"/>
      <c r="D17" s="239"/>
      <c r="E17" s="239"/>
      <c r="F17" s="239"/>
      <c r="G17" s="239"/>
      <c r="H17" s="239"/>
    </row>
    <row r="19" spans="1:9" ht="30">
      <c r="A19" s="231" t="s">
        <v>588</v>
      </c>
      <c r="B19" s="231" t="s">
        <v>599</v>
      </c>
      <c r="C19" s="231" t="s">
        <v>600</v>
      </c>
      <c r="D19" s="231" t="s">
        <v>601</v>
      </c>
      <c r="E19" s="231" t="s">
        <v>602</v>
      </c>
      <c r="F19" s="231" t="s">
        <v>603</v>
      </c>
      <c r="G19" s="231" t="s">
        <v>604</v>
      </c>
      <c r="H19" s="231" t="s">
        <v>620</v>
      </c>
    </row>
    <row r="20" spans="1:9">
      <c r="A20" s="232" t="s">
        <v>17</v>
      </c>
      <c r="B20" s="233">
        <v>27654</v>
      </c>
      <c r="C20" s="233">
        <v>30164</v>
      </c>
      <c r="D20" s="233">
        <v>31532</v>
      </c>
      <c r="E20" s="233">
        <v>33141</v>
      </c>
      <c r="F20" s="233">
        <v>2977</v>
      </c>
      <c r="G20" s="234">
        <v>9.8693807187375679E-2</v>
      </c>
      <c r="H20" s="232" t="s">
        <v>621</v>
      </c>
    </row>
    <row r="21" spans="1:9">
      <c r="A21" s="232" t="s">
        <v>24</v>
      </c>
      <c r="B21" s="233">
        <v>722161</v>
      </c>
      <c r="C21" s="233">
        <v>764382</v>
      </c>
      <c r="D21" s="233">
        <v>799051</v>
      </c>
      <c r="E21" s="233">
        <v>839832</v>
      </c>
      <c r="F21" s="233">
        <v>75450</v>
      </c>
      <c r="G21" s="234">
        <v>9.8707190907164219E-2</v>
      </c>
      <c r="H21" s="232" t="s">
        <v>621</v>
      </c>
    </row>
    <row r="22" spans="1:9">
      <c r="A22" s="232" t="s">
        <v>622</v>
      </c>
      <c r="B22" s="233">
        <v>5710795</v>
      </c>
      <c r="C22" s="233">
        <v>6100283</v>
      </c>
      <c r="D22" s="233">
        <v>6551789</v>
      </c>
      <c r="E22" s="233">
        <v>7139708</v>
      </c>
      <c r="F22" s="233">
        <v>1039425</v>
      </c>
      <c r="G22" s="234">
        <v>0.17038963602180424</v>
      </c>
      <c r="H22" s="232" t="s">
        <v>621</v>
      </c>
    </row>
    <row r="23" spans="1:9">
      <c r="A23" s="232" t="s">
        <v>297</v>
      </c>
      <c r="B23" s="233">
        <v>10214860</v>
      </c>
      <c r="C23" s="233">
        <v>10711908</v>
      </c>
      <c r="D23" s="233">
        <v>11427266</v>
      </c>
      <c r="E23" s="233">
        <v>12371249</v>
      </c>
      <c r="F23" s="233">
        <v>1659341</v>
      </c>
      <c r="G23" s="234">
        <v>0.1549062034513366</v>
      </c>
      <c r="H23" s="232" t="s">
        <v>623</v>
      </c>
    </row>
    <row r="25" spans="1:9" ht="76">
      <c r="A25" s="236" t="s">
        <v>624</v>
      </c>
      <c r="B25" s="237" t="s">
        <v>625</v>
      </c>
      <c r="C25" s="230"/>
      <c r="D25" s="230"/>
      <c r="E25" s="230"/>
      <c r="F25" s="230"/>
      <c r="G25" s="230"/>
      <c r="H25" s="230"/>
    </row>
    <row r="26" spans="1:9" ht="61">
      <c r="A26" s="236" t="s">
        <v>626</v>
      </c>
      <c r="B26" s="237" t="s">
        <v>627</v>
      </c>
      <c r="C26" s="230"/>
      <c r="D26" s="230"/>
      <c r="E26" s="230"/>
      <c r="F26" s="230"/>
      <c r="G26" s="230"/>
      <c r="H26" s="230"/>
    </row>
    <row r="27" spans="1:9" ht="91">
      <c r="A27" s="236" t="s">
        <v>628</v>
      </c>
      <c r="B27" s="237" t="s">
        <v>629</v>
      </c>
      <c r="C27" s="230"/>
      <c r="D27" s="230"/>
      <c r="E27" s="230"/>
      <c r="F27" s="230"/>
      <c r="G27" s="230"/>
      <c r="H27" s="230"/>
    </row>
    <row r="29" spans="1:9" s="125" customFormat="1"/>
    <row r="32" spans="1:9" ht="18">
      <c r="A32" s="239" t="s">
        <v>630</v>
      </c>
      <c r="B32" s="239"/>
      <c r="C32" s="239"/>
      <c r="D32" s="239"/>
      <c r="E32" s="239"/>
      <c r="F32" s="239"/>
      <c r="G32" s="239"/>
      <c r="H32" s="239"/>
      <c r="I32" s="239"/>
    </row>
    <row r="34" spans="1:9" ht="60">
      <c r="A34" s="231" t="s">
        <v>631</v>
      </c>
      <c r="B34" s="231" t="s">
        <v>632</v>
      </c>
      <c r="C34" s="231" t="s">
        <v>599</v>
      </c>
      <c r="D34" s="231" t="s">
        <v>600</v>
      </c>
      <c r="E34" s="231" t="s">
        <v>601</v>
      </c>
      <c r="F34" s="231" t="s">
        <v>602</v>
      </c>
      <c r="G34" s="231" t="s">
        <v>603</v>
      </c>
      <c r="H34" s="231" t="s">
        <v>604</v>
      </c>
      <c r="I34" s="231" t="s">
        <v>633</v>
      </c>
    </row>
    <row r="35" spans="1:9">
      <c r="A35" s="232" t="s">
        <v>17</v>
      </c>
      <c r="B35" s="232" t="s">
        <v>634</v>
      </c>
      <c r="C35" s="233">
        <v>27654</v>
      </c>
      <c r="D35" s="233">
        <v>30164</v>
      </c>
      <c r="E35" s="233">
        <v>31532</v>
      </c>
      <c r="F35" s="233">
        <v>33141</v>
      </c>
      <c r="G35" s="233">
        <v>2977</v>
      </c>
      <c r="H35" s="234">
        <v>9.8693807187375679E-2</v>
      </c>
      <c r="I35" s="232" t="s">
        <v>635</v>
      </c>
    </row>
    <row r="36" spans="1:9">
      <c r="A36" s="232" t="s">
        <v>301</v>
      </c>
      <c r="B36" s="232" t="s">
        <v>634</v>
      </c>
      <c r="C36" s="233">
        <v>50812</v>
      </c>
      <c r="D36" s="233">
        <v>55161</v>
      </c>
      <c r="E36" s="233">
        <v>57663</v>
      </c>
      <c r="F36" s="233">
        <v>60606</v>
      </c>
      <c r="G36" s="233">
        <v>5445</v>
      </c>
      <c r="H36" s="234">
        <v>9.871104584760973E-2</v>
      </c>
      <c r="I36" s="232" t="s">
        <v>635</v>
      </c>
    </row>
    <row r="37" spans="1:9">
      <c r="A37" s="232" t="s">
        <v>302</v>
      </c>
      <c r="B37" s="232" t="s">
        <v>634</v>
      </c>
      <c r="C37" s="233">
        <v>10650</v>
      </c>
      <c r="D37" s="233">
        <v>14616</v>
      </c>
      <c r="E37" s="233">
        <v>15279</v>
      </c>
      <c r="F37" s="233">
        <v>16059</v>
      </c>
      <c r="G37" s="233">
        <v>1443</v>
      </c>
      <c r="H37" s="234">
        <v>9.8727422003284077E-2</v>
      </c>
      <c r="I37" s="232" t="s">
        <v>635</v>
      </c>
    </row>
    <row r="38" spans="1:9">
      <c r="A38" s="232" t="s">
        <v>303</v>
      </c>
      <c r="B38" s="232" t="s">
        <v>634</v>
      </c>
      <c r="C38" s="233">
        <v>47727</v>
      </c>
      <c r="D38" s="233">
        <v>51683</v>
      </c>
      <c r="E38" s="233">
        <v>54027</v>
      </c>
      <c r="F38" s="233">
        <v>56784</v>
      </c>
      <c r="G38" s="233">
        <v>5101</v>
      </c>
      <c r="H38" s="234">
        <v>9.8697831008261905E-2</v>
      </c>
      <c r="I38" s="232" t="s">
        <v>635</v>
      </c>
    </row>
    <row r="39" spans="1:9">
      <c r="A39" s="232" t="s">
        <v>304</v>
      </c>
      <c r="B39" s="232" t="s">
        <v>636</v>
      </c>
      <c r="C39" s="233">
        <v>100691</v>
      </c>
      <c r="D39" s="233">
        <v>108080</v>
      </c>
      <c r="E39" s="233">
        <v>115983</v>
      </c>
      <c r="F39" s="233">
        <v>125202</v>
      </c>
      <c r="G39" s="233">
        <v>17122</v>
      </c>
      <c r="H39" s="234">
        <v>0.15841968911917098</v>
      </c>
      <c r="I39" s="232" t="s">
        <v>637</v>
      </c>
    </row>
    <row r="41" spans="1:9" ht="151">
      <c r="A41" s="236" t="s">
        <v>638</v>
      </c>
      <c r="B41" s="237" t="s">
        <v>639</v>
      </c>
      <c r="C41" s="230"/>
      <c r="D41" s="230"/>
      <c r="E41" s="230"/>
      <c r="F41" s="230"/>
      <c r="G41" s="230"/>
      <c r="H41" s="230"/>
      <c r="I41" s="230"/>
    </row>
    <row r="42" spans="1:9" ht="121">
      <c r="A42" s="236" t="s">
        <v>640</v>
      </c>
      <c r="B42" s="237" t="s">
        <v>641</v>
      </c>
      <c r="C42" s="230"/>
      <c r="D42" s="230"/>
      <c r="E42" s="230"/>
      <c r="F42" s="230"/>
      <c r="G42" s="230"/>
      <c r="H42" s="230"/>
      <c r="I42" s="230"/>
    </row>
    <row r="43" spans="1:9" ht="76">
      <c r="A43" s="236" t="s">
        <v>642</v>
      </c>
      <c r="B43" s="237" t="s">
        <v>643</v>
      </c>
      <c r="C43" s="230"/>
      <c r="D43" s="230"/>
      <c r="E43" s="230"/>
      <c r="F43" s="230"/>
      <c r="G43" s="230"/>
      <c r="H43" s="230"/>
      <c r="I43" s="230"/>
    </row>
    <row r="45" spans="1:9" s="125" customFormat="1"/>
    <row r="47" spans="1:9">
      <c r="A47" t="s">
        <v>644</v>
      </c>
    </row>
    <row r="49" spans="1:6">
      <c r="A49" t="s">
        <v>588</v>
      </c>
      <c r="B49">
        <v>2020</v>
      </c>
      <c r="C49">
        <v>2030</v>
      </c>
      <c r="D49">
        <v>2040</v>
      </c>
      <c r="E49" t="s">
        <v>645</v>
      </c>
      <c r="F49" t="s">
        <v>646</v>
      </c>
    </row>
    <row r="50" spans="1:6">
      <c r="A50" t="s">
        <v>24</v>
      </c>
      <c r="B50" s="32">
        <v>764382</v>
      </c>
      <c r="C50" s="32">
        <v>822164</v>
      </c>
      <c r="D50" s="32">
        <v>857500</v>
      </c>
      <c r="E50" s="32">
        <v>799051</v>
      </c>
      <c r="F50" s="32">
        <v>839832</v>
      </c>
    </row>
    <row r="51" spans="1:6">
      <c r="A51" t="s">
        <v>647</v>
      </c>
      <c r="B51" s="32">
        <v>1066710</v>
      </c>
      <c r="C51" s="32">
        <v>1196716</v>
      </c>
      <c r="D51" s="32">
        <v>1274673</v>
      </c>
      <c r="E51" s="32">
        <v>1144714</v>
      </c>
      <c r="F51" s="32">
        <v>1235694</v>
      </c>
    </row>
    <row r="52" spans="1:6">
      <c r="A52" t="s">
        <v>648</v>
      </c>
      <c r="B52" s="32">
        <v>6100283</v>
      </c>
      <c r="C52" s="32">
        <v>6852793</v>
      </c>
      <c r="D52" s="32">
        <v>7426622</v>
      </c>
      <c r="E52" s="32">
        <v>6551789</v>
      </c>
      <c r="F52" s="32">
        <v>7139708</v>
      </c>
    </row>
    <row r="53" spans="1:6">
      <c r="A53" t="s">
        <v>297</v>
      </c>
      <c r="B53" s="32">
        <v>10711908</v>
      </c>
      <c r="C53" s="32">
        <v>11877232</v>
      </c>
      <c r="D53" s="32">
        <v>12799595</v>
      </c>
      <c r="E53" s="32">
        <v>11427266</v>
      </c>
      <c r="F53" s="32">
        <v>12371249</v>
      </c>
    </row>
    <row r="55" spans="1:6">
      <c r="A55" t="s">
        <v>649</v>
      </c>
      <c r="E55" t="s">
        <v>650</v>
      </c>
      <c r="F55" t="s">
        <v>651</v>
      </c>
    </row>
    <row r="57" spans="1:6">
      <c r="A57" t="s">
        <v>652</v>
      </c>
      <c r="B57" t="s">
        <v>653</v>
      </c>
    </row>
    <row r="58" spans="1:6">
      <c r="A58" t="s">
        <v>654</v>
      </c>
      <c r="B58" t="s">
        <v>655</v>
      </c>
    </row>
    <row r="59" spans="1:6">
      <c r="A59" t="s">
        <v>656</v>
      </c>
      <c r="B59" t="s">
        <v>614</v>
      </c>
    </row>
    <row r="60" spans="1:6">
      <c r="A60" t="s">
        <v>657</v>
      </c>
      <c r="B60" t="s">
        <v>618</v>
      </c>
    </row>
    <row r="61" spans="1:6">
      <c r="A61" t="s">
        <v>658</v>
      </c>
      <c r="B61" t="s">
        <v>616</v>
      </c>
    </row>
  </sheetData>
  <mergeCells count="3">
    <mergeCell ref="A1:G1"/>
    <mergeCell ref="A17:H17"/>
    <mergeCell ref="A32:I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359B-6923-4406-95EA-4F271D55E051}">
  <sheetPr>
    <tabColor rgb="FFD7ECCC"/>
  </sheetPr>
  <dimension ref="A1:W53"/>
  <sheetViews>
    <sheetView topLeftCell="A15" zoomScale="79" zoomScaleNormal="79" workbookViewId="0">
      <selection activeCell="A22" sqref="A22:XFD22"/>
    </sheetView>
  </sheetViews>
  <sheetFormatPr baseColWidth="10" defaultColWidth="8.83203125" defaultRowHeight="15"/>
  <cols>
    <col min="1" max="1" width="31.33203125" customWidth="1"/>
    <col min="2" max="2" width="32.1640625" customWidth="1"/>
    <col min="3" max="3" width="21" customWidth="1"/>
    <col min="4" max="4" width="19.6640625" customWidth="1"/>
    <col min="5" max="5" width="17.6640625" customWidth="1"/>
    <col min="6" max="6" width="40.33203125" customWidth="1"/>
    <col min="7" max="7" width="19" customWidth="1"/>
    <col min="8" max="8" width="18.33203125" customWidth="1"/>
    <col min="9" max="11" width="20.6640625" customWidth="1"/>
    <col min="12" max="12" width="22.6640625" customWidth="1"/>
    <col min="13" max="13" width="21.33203125" customWidth="1"/>
    <col min="14" max="14" width="26.5" customWidth="1"/>
    <col min="15" max="15" width="36.5" customWidth="1"/>
    <col min="16" max="16" width="25.5" customWidth="1"/>
    <col min="17" max="17" width="10.6640625" customWidth="1"/>
    <col min="18" max="20" width="14.5" customWidth="1"/>
    <col min="21" max="21" width="8.33203125" customWidth="1"/>
  </cols>
  <sheetData>
    <row r="1" spans="1:16" ht="32.5" customHeight="1">
      <c r="A1" s="124" t="s">
        <v>218</v>
      </c>
    </row>
    <row r="2" spans="1:16" ht="14.5" customHeight="1">
      <c r="A2" s="240" t="s">
        <v>283</v>
      </c>
      <c r="B2" s="241"/>
      <c r="C2" s="241"/>
      <c r="D2" s="241"/>
      <c r="E2" s="241"/>
      <c r="F2" s="242"/>
    </row>
    <row r="3" spans="1:16">
      <c r="A3" s="243"/>
      <c r="B3" s="244"/>
      <c r="C3" s="244"/>
      <c r="D3" s="244"/>
      <c r="E3" s="244"/>
      <c r="F3" s="245"/>
    </row>
    <row r="4" spans="1:16">
      <c r="A4" s="243"/>
      <c r="B4" s="244"/>
      <c r="C4" s="244"/>
      <c r="D4" s="244"/>
      <c r="E4" s="244"/>
      <c r="F4" s="245"/>
    </row>
    <row r="5" spans="1:16" ht="161.5" customHeight="1">
      <c r="A5" s="246"/>
      <c r="B5" s="247"/>
      <c r="C5" s="247"/>
      <c r="D5" s="247"/>
      <c r="E5" s="247"/>
      <c r="F5" s="248"/>
    </row>
    <row r="7" spans="1:16" ht="30.5" customHeight="1" thickBot="1">
      <c r="A7" s="249" t="s">
        <v>282</v>
      </c>
    </row>
    <row r="8" spans="1:16" ht="33" thickBot="1">
      <c r="A8" s="250"/>
      <c r="B8" s="110" t="s">
        <v>219</v>
      </c>
      <c r="C8" s="111" t="s">
        <v>220</v>
      </c>
      <c r="D8" s="111" t="s">
        <v>221</v>
      </c>
      <c r="E8" s="111" t="s">
        <v>222</v>
      </c>
      <c r="F8" s="111" t="s">
        <v>223</v>
      </c>
      <c r="G8" s="111" t="s">
        <v>224</v>
      </c>
      <c r="H8" s="111" t="s">
        <v>225</v>
      </c>
      <c r="I8" s="111" t="s">
        <v>226</v>
      </c>
      <c r="J8" s="149" t="s">
        <v>337</v>
      </c>
      <c r="K8" s="111" t="s">
        <v>227</v>
      </c>
      <c r="L8" s="111" t="s">
        <v>228</v>
      </c>
      <c r="M8" s="111" t="s">
        <v>229</v>
      </c>
      <c r="N8" s="112" t="s">
        <v>230</v>
      </c>
    </row>
    <row r="9" spans="1:16" ht="16" thickTop="1">
      <c r="A9" s="250"/>
      <c r="B9" s="116" t="s">
        <v>231</v>
      </c>
      <c r="C9" s="117" t="s">
        <v>232</v>
      </c>
      <c r="D9" s="117">
        <v>606</v>
      </c>
      <c r="E9" s="117">
        <v>11.8</v>
      </c>
      <c r="F9" s="118">
        <v>0.92400000000000004</v>
      </c>
      <c r="G9" s="117" t="s">
        <v>233</v>
      </c>
      <c r="H9" s="117" t="s">
        <v>234</v>
      </c>
      <c r="I9" s="117" t="s">
        <v>235</v>
      </c>
      <c r="J9" s="150">
        <v>-0.8</v>
      </c>
      <c r="K9" s="117" t="s">
        <v>236</v>
      </c>
      <c r="L9" s="117" t="s">
        <v>237</v>
      </c>
      <c r="M9" s="117" t="s">
        <v>238</v>
      </c>
      <c r="N9" s="113">
        <v>0.08</v>
      </c>
    </row>
    <row r="10" spans="1:16">
      <c r="A10" s="250"/>
      <c r="B10" s="119" t="s">
        <v>239</v>
      </c>
      <c r="C10" s="14" t="s">
        <v>232</v>
      </c>
      <c r="D10" s="14">
        <v>507</v>
      </c>
      <c r="E10" s="14">
        <v>12.3</v>
      </c>
      <c r="F10" s="120">
        <v>0.80500000000000005</v>
      </c>
      <c r="G10" s="14" t="s">
        <v>240</v>
      </c>
      <c r="H10" s="14" t="s">
        <v>241</v>
      </c>
      <c r="I10" s="14" t="s">
        <v>242</v>
      </c>
      <c r="J10" s="150">
        <v>-0.104</v>
      </c>
      <c r="K10" s="14" t="s">
        <v>243</v>
      </c>
      <c r="L10" s="14" t="s">
        <v>244</v>
      </c>
      <c r="M10" s="14" t="s">
        <v>245</v>
      </c>
      <c r="N10" s="114">
        <v>0.34</v>
      </c>
    </row>
    <row r="11" spans="1:16">
      <c r="A11" s="250"/>
      <c r="B11" s="119" t="s">
        <v>246</v>
      </c>
      <c r="C11" s="14" t="s">
        <v>247</v>
      </c>
      <c r="D11" s="14">
        <v>1367</v>
      </c>
      <c r="E11" s="14">
        <v>14.3</v>
      </c>
      <c r="F11" s="120">
        <v>0.73499999999999999</v>
      </c>
      <c r="G11" s="14" t="s">
        <v>248</v>
      </c>
      <c r="H11" s="14" t="s">
        <v>249</v>
      </c>
      <c r="I11" s="14" t="s">
        <v>242</v>
      </c>
      <c r="J11" s="150">
        <v>-0.33800000000000002</v>
      </c>
      <c r="K11" s="14" t="s">
        <v>250</v>
      </c>
      <c r="L11" s="14" t="s">
        <v>251</v>
      </c>
      <c r="M11" s="14" t="s">
        <v>245</v>
      </c>
      <c r="N11" s="114">
        <v>0.32</v>
      </c>
    </row>
    <row r="12" spans="1:16">
      <c r="A12" s="250"/>
      <c r="B12" s="119" t="s">
        <v>252</v>
      </c>
      <c r="C12" s="14" t="s">
        <v>247</v>
      </c>
      <c r="D12" s="14">
        <v>1018</v>
      </c>
      <c r="E12" s="14">
        <v>17.100000000000001</v>
      </c>
      <c r="F12" s="120">
        <v>0.30599999999999999</v>
      </c>
      <c r="G12" s="14" t="s">
        <v>253</v>
      </c>
      <c r="H12" s="14" t="s">
        <v>254</v>
      </c>
      <c r="I12" s="14" t="s">
        <v>255</v>
      </c>
      <c r="J12" s="150">
        <v>1.0999999999999999E-2</v>
      </c>
      <c r="K12" s="14" t="s">
        <v>256</v>
      </c>
      <c r="L12" s="14" t="s">
        <v>257</v>
      </c>
      <c r="M12" s="14" t="s">
        <v>258</v>
      </c>
      <c r="N12" s="114">
        <v>0.68</v>
      </c>
    </row>
    <row r="13" spans="1:16" ht="16" thickBot="1">
      <c r="A13" s="250"/>
      <c r="B13" s="121" t="s">
        <v>259</v>
      </c>
      <c r="C13" s="122" t="s">
        <v>260</v>
      </c>
      <c r="D13" s="122">
        <v>1867</v>
      </c>
      <c r="E13" s="122">
        <v>16.5</v>
      </c>
      <c r="F13" s="123">
        <v>0.435</v>
      </c>
      <c r="G13" s="122" t="s">
        <v>261</v>
      </c>
      <c r="H13" s="122" t="s">
        <v>262</v>
      </c>
      <c r="I13" s="122" t="s">
        <v>263</v>
      </c>
      <c r="J13" s="151">
        <v>-0.08</v>
      </c>
      <c r="K13" s="122" t="s">
        <v>264</v>
      </c>
      <c r="L13" s="122" t="s">
        <v>265</v>
      </c>
      <c r="M13" s="122" t="s">
        <v>266</v>
      </c>
      <c r="N13" s="115">
        <v>0.53</v>
      </c>
    </row>
    <row r="14" spans="1:16" ht="43.25" customHeight="1">
      <c r="A14" s="251"/>
      <c r="B14" s="208" t="s">
        <v>267</v>
      </c>
      <c r="C14" s="208" t="s">
        <v>219</v>
      </c>
      <c r="D14" s="208" t="s">
        <v>268</v>
      </c>
      <c r="E14" s="209" t="s">
        <v>269</v>
      </c>
      <c r="F14" s="210" t="s">
        <v>276</v>
      </c>
    </row>
    <row r="15" spans="1:16" ht="40.25" customHeight="1">
      <c r="A15" s="251"/>
      <c r="B15" s="211">
        <v>1</v>
      </c>
      <c r="C15" s="211" t="s">
        <v>252</v>
      </c>
      <c r="D15" s="211" t="s">
        <v>255</v>
      </c>
      <c r="E15" s="212" t="s">
        <v>270</v>
      </c>
      <c r="F15" s="213" t="s">
        <v>277</v>
      </c>
      <c r="I15" s="214" t="s">
        <v>219</v>
      </c>
      <c r="J15" s="214" t="s">
        <v>220</v>
      </c>
      <c r="K15" s="214" t="s">
        <v>221</v>
      </c>
      <c r="L15" s="214" t="s">
        <v>222</v>
      </c>
      <c r="M15" s="214" t="s">
        <v>568</v>
      </c>
      <c r="N15" s="214" t="s">
        <v>569</v>
      </c>
      <c r="O15" s="214" t="s">
        <v>570</v>
      </c>
      <c r="P15" s="214" t="s">
        <v>571</v>
      </c>
    </row>
    <row r="16" spans="1:16" ht="40.25" customHeight="1">
      <c r="A16" s="251"/>
      <c r="B16" s="211">
        <v>2</v>
      </c>
      <c r="C16" s="211" t="s">
        <v>259</v>
      </c>
      <c r="D16" s="211" t="s">
        <v>263</v>
      </c>
      <c r="E16" s="212" t="s">
        <v>271</v>
      </c>
      <c r="F16" s="213" t="s">
        <v>278</v>
      </c>
      <c r="I16" s="211" t="s">
        <v>274</v>
      </c>
      <c r="J16" s="211" t="s">
        <v>572</v>
      </c>
      <c r="K16" s="211">
        <v>606</v>
      </c>
      <c r="L16" s="211">
        <v>11.8</v>
      </c>
      <c r="M16" s="215">
        <v>0.92400000000000004</v>
      </c>
      <c r="N16" s="211" t="s">
        <v>238</v>
      </c>
      <c r="O16" s="216">
        <v>0.08</v>
      </c>
      <c r="P16" s="211" t="s">
        <v>573</v>
      </c>
    </row>
    <row r="17" spans="1:23" ht="40.25" customHeight="1">
      <c r="A17" s="251"/>
      <c r="B17" s="211">
        <v>3</v>
      </c>
      <c r="C17" s="211" t="s">
        <v>272</v>
      </c>
      <c r="D17" s="211" t="s">
        <v>242</v>
      </c>
      <c r="E17" s="212" t="s">
        <v>273</v>
      </c>
      <c r="F17" s="213" t="s">
        <v>279</v>
      </c>
      <c r="I17" s="211" t="s">
        <v>272</v>
      </c>
      <c r="J17" s="211" t="s">
        <v>572</v>
      </c>
      <c r="K17" s="211">
        <v>507</v>
      </c>
      <c r="L17" s="211">
        <v>12.3</v>
      </c>
      <c r="M17" s="215">
        <v>0.80500000000000005</v>
      </c>
      <c r="N17" s="211" t="s">
        <v>245</v>
      </c>
      <c r="O17" s="216">
        <v>0.34</v>
      </c>
      <c r="P17" s="211" t="s">
        <v>574</v>
      </c>
    </row>
    <row r="18" spans="1:23" ht="40.25" customHeight="1">
      <c r="A18" s="251"/>
      <c r="B18" s="211">
        <v>4</v>
      </c>
      <c r="C18" s="211" t="s">
        <v>246</v>
      </c>
      <c r="D18" s="211" t="s">
        <v>242</v>
      </c>
      <c r="E18" s="212" t="s">
        <v>273</v>
      </c>
      <c r="F18" s="213" t="s">
        <v>280</v>
      </c>
      <c r="I18" s="211" t="s">
        <v>575</v>
      </c>
      <c r="J18" s="211" t="s">
        <v>576</v>
      </c>
      <c r="K18" s="217">
        <v>1367</v>
      </c>
      <c r="L18" s="211">
        <v>14.3</v>
      </c>
      <c r="M18" s="215">
        <v>0.73499999999999999</v>
      </c>
      <c r="N18" s="211" t="s">
        <v>245</v>
      </c>
      <c r="O18" s="216">
        <v>0.32</v>
      </c>
      <c r="P18" s="211" t="s">
        <v>250</v>
      </c>
    </row>
    <row r="19" spans="1:23" ht="40.25" customHeight="1">
      <c r="A19" s="252"/>
      <c r="B19" s="211">
        <v>5</v>
      </c>
      <c r="C19" s="211" t="s">
        <v>274</v>
      </c>
      <c r="D19" s="211" t="s">
        <v>235</v>
      </c>
      <c r="E19" s="212" t="s">
        <v>275</v>
      </c>
      <c r="F19" s="213" t="s">
        <v>281</v>
      </c>
      <c r="I19" s="211" t="s">
        <v>577</v>
      </c>
      <c r="J19" s="211" t="s">
        <v>576</v>
      </c>
      <c r="K19" s="217">
        <v>1018</v>
      </c>
      <c r="L19" s="211">
        <v>17.100000000000001</v>
      </c>
      <c r="M19" s="215">
        <v>0.30599999999999999</v>
      </c>
      <c r="N19" s="211" t="s">
        <v>258</v>
      </c>
      <c r="O19" s="216">
        <v>0.68</v>
      </c>
      <c r="P19" s="211" t="s">
        <v>256</v>
      </c>
    </row>
    <row r="20" spans="1:23" ht="40.25" customHeight="1">
      <c r="I20" s="211" t="s">
        <v>578</v>
      </c>
      <c r="J20" s="211" t="s">
        <v>579</v>
      </c>
      <c r="K20" s="217">
        <v>1867</v>
      </c>
      <c r="L20" s="211">
        <v>16.5</v>
      </c>
      <c r="M20" s="215">
        <v>0.435</v>
      </c>
      <c r="N20" s="211" t="s">
        <v>266</v>
      </c>
      <c r="O20" s="216">
        <v>0.53</v>
      </c>
      <c r="P20" s="211" t="s">
        <v>264</v>
      </c>
    </row>
    <row r="22" spans="1:23" s="125" customFormat="1"/>
    <row r="23" spans="1:23" ht="46.25" customHeight="1">
      <c r="A23" s="144" t="s">
        <v>284</v>
      </c>
      <c r="B23" s="109" t="s">
        <v>358</v>
      </c>
      <c r="T23" t="s">
        <v>580</v>
      </c>
    </row>
    <row r="24" spans="1:23" ht="49.25" customHeight="1">
      <c r="A24" s="253" t="s">
        <v>350</v>
      </c>
      <c r="B24" s="152"/>
      <c r="C24" s="156" t="s">
        <v>338</v>
      </c>
      <c r="D24" s="156" t="s">
        <v>339</v>
      </c>
      <c r="E24" s="156" t="s">
        <v>340</v>
      </c>
      <c r="F24" s="156" t="s">
        <v>288</v>
      </c>
      <c r="G24" s="156" t="s">
        <v>341</v>
      </c>
      <c r="H24" s="156" t="s">
        <v>342</v>
      </c>
      <c r="I24" s="156" t="s">
        <v>343</v>
      </c>
      <c r="J24" s="156" t="s">
        <v>288</v>
      </c>
      <c r="K24" s="156" t="s">
        <v>344</v>
      </c>
      <c r="L24" s="156" t="s">
        <v>345</v>
      </c>
      <c r="M24" s="156" t="s">
        <v>346</v>
      </c>
      <c r="N24" s="156" t="s">
        <v>288</v>
      </c>
      <c r="O24" s="156" t="s">
        <v>347</v>
      </c>
      <c r="P24" s="156" t="s">
        <v>348</v>
      </c>
      <c r="Q24" s="156" t="s">
        <v>349</v>
      </c>
      <c r="R24" s="156" t="s">
        <v>288</v>
      </c>
      <c r="T24" s="218"/>
      <c r="U24" s="219">
        <v>2015</v>
      </c>
      <c r="V24" s="219">
        <v>2020</v>
      </c>
      <c r="W24" s="219">
        <v>2024</v>
      </c>
    </row>
    <row r="25" spans="1:23" ht="16">
      <c r="A25" s="251"/>
      <c r="B25" s="160" t="s">
        <v>17</v>
      </c>
      <c r="C25" s="163">
        <v>5058</v>
      </c>
      <c r="D25" s="163">
        <v>4444</v>
      </c>
      <c r="E25" s="163">
        <v>4162</v>
      </c>
      <c r="F25" s="162">
        <v>-0.17699999999999999</v>
      </c>
      <c r="G25" s="163">
        <v>13787</v>
      </c>
      <c r="H25" s="163">
        <v>16167</v>
      </c>
      <c r="I25" s="163">
        <v>16855</v>
      </c>
      <c r="J25" s="162">
        <v>0.223</v>
      </c>
      <c r="K25" s="163">
        <v>10238</v>
      </c>
      <c r="L25" s="163">
        <v>12771</v>
      </c>
      <c r="M25" s="163">
        <v>13270</v>
      </c>
      <c r="N25" s="162">
        <v>0.29599999999999999</v>
      </c>
      <c r="O25" s="163">
        <v>2038</v>
      </c>
      <c r="P25" s="163">
        <v>3382</v>
      </c>
      <c r="Q25" s="163">
        <v>4165</v>
      </c>
      <c r="R25" s="162">
        <v>1.044</v>
      </c>
      <c r="T25" s="204" t="s">
        <v>17</v>
      </c>
      <c r="U25" s="220">
        <v>2038</v>
      </c>
      <c r="V25" s="220">
        <v>3382</v>
      </c>
      <c r="W25" s="220">
        <v>4165</v>
      </c>
    </row>
    <row r="26" spans="1:23" ht="16">
      <c r="A26" s="251"/>
      <c r="B26" s="152" t="s">
        <v>24</v>
      </c>
      <c r="C26" s="154">
        <v>56017</v>
      </c>
      <c r="D26" s="154">
        <v>50049</v>
      </c>
      <c r="E26" s="154">
        <v>48436</v>
      </c>
      <c r="F26" s="158">
        <v>-0.13500000000000001</v>
      </c>
      <c r="G26" s="154">
        <v>423303</v>
      </c>
      <c r="H26" s="154">
        <v>465786</v>
      </c>
      <c r="I26" s="154">
        <v>479915</v>
      </c>
      <c r="J26" s="158">
        <v>0.13400000000000001</v>
      </c>
      <c r="K26" s="154">
        <v>322693</v>
      </c>
      <c r="L26" s="154">
        <v>359335</v>
      </c>
      <c r="M26" s="154">
        <v>374558</v>
      </c>
      <c r="N26" s="158">
        <v>0.161</v>
      </c>
      <c r="O26" s="154">
        <v>96945</v>
      </c>
      <c r="P26" s="154">
        <v>105192</v>
      </c>
      <c r="Q26" s="154">
        <v>109651</v>
      </c>
      <c r="R26" s="158">
        <v>0.13100000000000001</v>
      </c>
      <c r="T26" s="204" t="s">
        <v>24</v>
      </c>
      <c r="U26" s="220">
        <v>96945</v>
      </c>
      <c r="V26" s="220">
        <v>105192</v>
      </c>
      <c r="W26" s="220">
        <v>109651</v>
      </c>
    </row>
    <row r="27" spans="1:23" ht="16">
      <c r="A27" s="251"/>
      <c r="B27" s="152" t="s">
        <v>215</v>
      </c>
      <c r="C27" s="154">
        <v>645055</v>
      </c>
      <c r="D27" s="154">
        <v>888321</v>
      </c>
      <c r="E27" s="154">
        <v>878511</v>
      </c>
      <c r="F27" s="158">
        <v>0.36199999999999999</v>
      </c>
      <c r="G27" s="154">
        <v>2287560</v>
      </c>
      <c r="H27" s="154">
        <v>2627810</v>
      </c>
      <c r="I27" s="154">
        <v>2873455</v>
      </c>
      <c r="J27" s="158">
        <v>0.25600000000000001</v>
      </c>
      <c r="K27" s="154">
        <v>1310484</v>
      </c>
      <c r="L27" s="154">
        <v>1565512</v>
      </c>
      <c r="M27" s="154">
        <v>1808857</v>
      </c>
      <c r="N27" s="158">
        <v>0.38</v>
      </c>
      <c r="O27" s="154">
        <v>489627</v>
      </c>
      <c r="P27" s="154">
        <v>552113</v>
      </c>
      <c r="Q27" s="154">
        <v>576753</v>
      </c>
      <c r="R27" s="158">
        <v>0.17799999999999999</v>
      </c>
      <c r="T27" s="204" t="s">
        <v>215</v>
      </c>
      <c r="U27" s="220">
        <v>489627</v>
      </c>
      <c r="V27" s="220">
        <v>552113</v>
      </c>
      <c r="W27" s="220">
        <v>576753</v>
      </c>
    </row>
    <row r="28" spans="1:23" ht="16">
      <c r="A28" s="251"/>
      <c r="B28" s="152" t="s">
        <v>297</v>
      </c>
      <c r="C28" s="154">
        <v>949697</v>
      </c>
      <c r="D28" s="154">
        <v>848653</v>
      </c>
      <c r="E28" s="154">
        <v>1271570</v>
      </c>
      <c r="F28" s="158">
        <v>0.33900000000000002</v>
      </c>
      <c r="G28" s="154">
        <v>3505508</v>
      </c>
      <c r="H28" s="154">
        <v>4227338</v>
      </c>
      <c r="I28" s="154">
        <v>4609303</v>
      </c>
      <c r="J28" s="158">
        <v>0.315</v>
      </c>
      <c r="K28" s="154">
        <v>1705584</v>
      </c>
      <c r="L28" s="154">
        <v>2422338</v>
      </c>
      <c r="M28" s="154">
        <v>2650303</v>
      </c>
      <c r="N28" s="158">
        <v>0.55400000000000005</v>
      </c>
      <c r="O28" s="154">
        <v>575259</v>
      </c>
      <c r="P28" s="154">
        <v>675951</v>
      </c>
      <c r="Q28" s="154">
        <v>721658</v>
      </c>
      <c r="R28" s="158">
        <v>0.254</v>
      </c>
      <c r="T28" s="204" t="s">
        <v>297</v>
      </c>
      <c r="U28" s="220">
        <v>575259</v>
      </c>
      <c r="V28" s="220">
        <v>675951</v>
      </c>
      <c r="W28" s="220">
        <v>721658</v>
      </c>
    </row>
    <row r="29" spans="1:23">
      <c r="A29" s="250"/>
    </row>
    <row r="30" spans="1:23" ht="38" customHeight="1">
      <c r="A30" s="251"/>
      <c r="B30" s="152"/>
      <c r="C30" s="156" t="s">
        <v>338</v>
      </c>
      <c r="D30" s="156" t="s">
        <v>339</v>
      </c>
      <c r="E30" s="156" t="s">
        <v>340</v>
      </c>
      <c r="F30" s="156" t="s">
        <v>288</v>
      </c>
      <c r="G30" s="156" t="s">
        <v>341</v>
      </c>
      <c r="H30" s="156" t="s">
        <v>342</v>
      </c>
      <c r="I30" s="156" t="s">
        <v>343</v>
      </c>
      <c r="J30" s="156" t="s">
        <v>288</v>
      </c>
      <c r="K30" s="156" t="s">
        <v>344</v>
      </c>
      <c r="L30" s="156" t="s">
        <v>345</v>
      </c>
      <c r="M30" s="156" t="s">
        <v>346</v>
      </c>
      <c r="N30" s="156" t="s">
        <v>288</v>
      </c>
      <c r="O30" s="156" t="s">
        <v>347</v>
      </c>
      <c r="P30" s="156" t="s">
        <v>348</v>
      </c>
      <c r="Q30" s="156" t="s">
        <v>349</v>
      </c>
      <c r="R30" s="156" t="s">
        <v>288</v>
      </c>
      <c r="T30" s="218"/>
      <c r="U30" s="219">
        <v>2015</v>
      </c>
      <c r="V30" s="219">
        <v>2020</v>
      </c>
      <c r="W30" s="219">
        <v>2024</v>
      </c>
    </row>
    <row r="31" spans="1:23" ht="16">
      <c r="A31" s="251"/>
      <c r="B31" s="152" t="s">
        <v>301</v>
      </c>
      <c r="C31" s="154">
        <v>4408</v>
      </c>
      <c r="D31" s="154">
        <v>3344</v>
      </c>
      <c r="E31" s="154">
        <v>3545</v>
      </c>
      <c r="F31" s="158">
        <v>-0.19600000000000001</v>
      </c>
      <c r="G31" s="154">
        <v>31462</v>
      </c>
      <c r="H31" s="154">
        <v>35444</v>
      </c>
      <c r="I31" s="154">
        <v>36110</v>
      </c>
      <c r="J31" s="158">
        <v>0.14799999999999999</v>
      </c>
      <c r="K31" s="154">
        <v>26776</v>
      </c>
      <c r="L31" s="154">
        <v>31093</v>
      </c>
      <c r="M31" s="154">
        <v>32832</v>
      </c>
      <c r="N31" s="158">
        <v>0.22600000000000001</v>
      </c>
      <c r="O31" s="154">
        <v>21669</v>
      </c>
      <c r="P31" s="154">
        <v>27013</v>
      </c>
      <c r="Q31" s="154">
        <v>28108</v>
      </c>
      <c r="R31" s="158">
        <v>0.29699999999999999</v>
      </c>
      <c r="T31" s="204" t="s">
        <v>301</v>
      </c>
      <c r="U31" s="220">
        <v>21669</v>
      </c>
      <c r="V31" s="220">
        <v>27013</v>
      </c>
      <c r="W31" s="220">
        <v>28108</v>
      </c>
    </row>
    <row r="32" spans="1:23" ht="16">
      <c r="A32" s="251"/>
      <c r="B32" s="160" t="s">
        <v>17</v>
      </c>
      <c r="C32" s="163">
        <v>5058</v>
      </c>
      <c r="D32" s="163">
        <v>4444</v>
      </c>
      <c r="E32" s="163">
        <v>4162</v>
      </c>
      <c r="F32" s="162">
        <v>-0.17699999999999999</v>
      </c>
      <c r="G32" s="163">
        <v>13787</v>
      </c>
      <c r="H32" s="163">
        <v>16167</v>
      </c>
      <c r="I32" s="163">
        <v>16855</v>
      </c>
      <c r="J32" s="162">
        <v>0.223</v>
      </c>
      <c r="K32" s="163">
        <v>10238</v>
      </c>
      <c r="L32" s="163">
        <v>12771</v>
      </c>
      <c r="M32" s="163">
        <v>13270</v>
      </c>
      <c r="N32" s="162">
        <v>0.29599999999999999</v>
      </c>
      <c r="O32" s="163">
        <v>2038</v>
      </c>
      <c r="P32" s="163">
        <v>3382</v>
      </c>
      <c r="Q32" s="163">
        <v>4165</v>
      </c>
      <c r="R32" s="162">
        <v>1.044</v>
      </c>
      <c r="T32" s="204" t="s">
        <v>17</v>
      </c>
      <c r="U32" s="220">
        <v>2038</v>
      </c>
      <c r="V32" s="220">
        <v>3382</v>
      </c>
      <c r="W32" s="220">
        <v>4165</v>
      </c>
    </row>
    <row r="33" spans="1:23" ht="16">
      <c r="A33" s="251"/>
      <c r="B33" s="152" t="s">
        <v>302</v>
      </c>
      <c r="C33" s="154">
        <v>2572</v>
      </c>
      <c r="D33" s="154">
        <v>1642</v>
      </c>
      <c r="E33" s="154">
        <v>1978</v>
      </c>
      <c r="F33" s="158">
        <v>-0.23100000000000001</v>
      </c>
      <c r="G33" s="154">
        <v>4237</v>
      </c>
      <c r="H33" s="154">
        <v>4868</v>
      </c>
      <c r="I33" s="154">
        <v>5404</v>
      </c>
      <c r="J33" s="158">
        <v>0.27500000000000002</v>
      </c>
      <c r="K33" s="154">
        <v>2572</v>
      </c>
      <c r="L33" s="154">
        <v>3112</v>
      </c>
      <c r="M33" s="154">
        <v>3532</v>
      </c>
      <c r="N33" s="158">
        <v>0.373</v>
      </c>
      <c r="O33" s="154">
        <v>1341</v>
      </c>
      <c r="P33" s="154">
        <v>2161</v>
      </c>
      <c r="Q33" s="154">
        <v>2630</v>
      </c>
      <c r="R33" s="158">
        <v>0.96099999999999997</v>
      </c>
      <c r="T33" s="204" t="s">
        <v>302</v>
      </c>
      <c r="U33" s="220">
        <v>1341</v>
      </c>
      <c r="V33" s="220">
        <v>2161</v>
      </c>
      <c r="W33" s="220">
        <v>2630</v>
      </c>
    </row>
    <row r="34" spans="1:23" ht="16">
      <c r="A34" s="251"/>
      <c r="B34" s="152" t="s">
        <v>303</v>
      </c>
      <c r="C34" s="154">
        <v>2161</v>
      </c>
      <c r="D34" s="154">
        <v>1208</v>
      </c>
      <c r="E34" s="154">
        <v>1592</v>
      </c>
      <c r="F34" s="158">
        <v>-0.26300000000000001</v>
      </c>
      <c r="G34" s="154">
        <v>31113</v>
      </c>
      <c r="H34" s="154">
        <v>32558</v>
      </c>
      <c r="I34" s="154">
        <v>33817</v>
      </c>
      <c r="J34" s="158">
        <v>8.6999999999999994E-2</v>
      </c>
      <c r="K34" s="154">
        <v>27810</v>
      </c>
      <c r="L34" s="154">
        <v>29613</v>
      </c>
      <c r="M34" s="154">
        <v>30850</v>
      </c>
      <c r="N34" s="158">
        <v>0.109</v>
      </c>
      <c r="O34" s="154">
        <v>21983</v>
      </c>
      <c r="P34" s="154">
        <v>24289</v>
      </c>
      <c r="Q34" s="154">
        <v>25554</v>
      </c>
      <c r="R34" s="158">
        <v>0.16200000000000001</v>
      </c>
      <c r="T34" s="204" t="s">
        <v>303</v>
      </c>
      <c r="U34" s="220">
        <v>21983</v>
      </c>
      <c r="V34" s="220">
        <v>24289</v>
      </c>
      <c r="W34" s="220">
        <v>25554</v>
      </c>
    </row>
    <row r="35" spans="1:23" ht="16">
      <c r="A35" s="251"/>
      <c r="B35" s="152" t="s">
        <v>304</v>
      </c>
      <c r="C35" s="154">
        <v>4185</v>
      </c>
      <c r="D35" s="154">
        <v>3467</v>
      </c>
      <c r="E35" s="154">
        <v>2447</v>
      </c>
      <c r="F35" s="158">
        <v>-0.41499999999999998</v>
      </c>
      <c r="G35" s="154">
        <v>66888</v>
      </c>
      <c r="H35" s="154">
        <v>75841</v>
      </c>
      <c r="I35" s="154">
        <v>77623</v>
      </c>
      <c r="J35" s="158">
        <v>0.161</v>
      </c>
      <c r="K35" s="154">
        <v>57247</v>
      </c>
      <c r="L35" s="154">
        <v>66891</v>
      </c>
      <c r="M35" s="154">
        <v>70285</v>
      </c>
      <c r="N35" s="158">
        <v>0.22800000000000001</v>
      </c>
      <c r="O35" s="154">
        <v>42455</v>
      </c>
      <c r="P35" s="154">
        <v>52726</v>
      </c>
      <c r="Q35" s="154">
        <v>55415</v>
      </c>
      <c r="R35" s="158">
        <v>0.30499999999999999</v>
      </c>
      <c r="T35" s="204" t="s">
        <v>304</v>
      </c>
      <c r="U35" s="220">
        <v>42455</v>
      </c>
      <c r="V35" s="220">
        <v>52726</v>
      </c>
      <c r="W35" s="220">
        <v>55415</v>
      </c>
    </row>
    <row r="36" spans="1:23">
      <c r="A36" s="254"/>
    </row>
    <row r="38" spans="1:23" s="125" customFormat="1"/>
    <row r="39" spans="1:23" ht="42" customHeight="1">
      <c r="A39" s="143" t="s">
        <v>351</v>
      </c>
      <c r="B39" s="109" t="s">
        <v>358</v>
      </c>
    </row>
    <row r="40" spans="1:23" ht="48">
      <c r="A40" s="255" t="s">
        <v>311</v>
      </c>
      <c r="B40" s="152"/>
      <c r="C40" s="156" t="s">
        <v>352</v>
      </c>
      <c r="D40" s="156" t="s">
        <v>353</v>
      </c>
      <c r="E40" s="156" t="s">
        <v>354</v>
      </c>
      <c r="F40" s="156" t="s">
        <v>288</v>
      </c>
      <c r="G40" s="156" t="s">
        <v>355</v>
      </c>
      <c r="H40" s="156" t="s">
        <v>356</v>
      </c>
      <c r="I40" s="156" t="s">
        <v>357</v>
      </c>
      <c r="J40" s="156" t="s">
        <v>288</v>
      </c>
    </row>
    <row r="41" spans="1:23">
      <c r="A41" s="255"/>
      <c r="B41" s="160" t="s">
        <v>17</v>
      </c>
      <c r="C41" s="161">
        <v>263</v>
      </c>
      <c r="D41" s="161">
        <v>242</v>
      </c>
      <c r="E41" s="161">
        <v>259</v>
      </c>
      <c r="F41" s="162">
        <v>-1.4999999999999999E-2</v>
      </c>
      <c r="G41" s="161">
        <v>871</v>
      </c>
      <c r="H41" s="163">
        <v>1168</v>
      </c>
      <c r="I41" s="163">
        <v>1329</v>
      </c>
      <c r="J41" s="162">
        <v>0.52600000000000002</v>
      </c>
    </row>
    <row r="42" spans="1:23">
      <c r="A42" s="255"/>
      <c r="B42" s="152" t="s">
        <v>24</v>
      </c>
      <c r="C42" s="154">
        <v>2211</v>
      </c>
      <c r="D42" s="154">
        <v>1737</v>
      </c>
      <c r="E42" s="154">
        <v>2425</v>
      </c>
      <c r="F42" s="158">
        <v>9.7000000000000003E-2</v>
      </c>
      <c r="G42" s="154">
        <v>31758</v>
      </c>
      <c r="H42" s="154">
        <v>32776</v>
      </c>
      <c r="I42" s="154">
        <v>34862</v>
      </c>
      <c r="J42" s="158">
        <v>9.8000000000000004E-2</v>
      </c>
    </row>
    <row r="43" spans="1:23">
      <c r="A43" s="255"/>
      <c r="B43" s="152" t="s">
        <v>215</v>
      </c>
      <c r="C43" s="154">
        <v>307919</v>
      </c>
      <c r="D43" s="154">
        <v>326184</v>
      </c>
      <c r="E43" s="154">
        <v>348333</v>
      </c>
      <c r="F43" s="158">
        <v>0.13100000000000001</v>
      </c>
      <c r="G43" s="154">
        <v>292602</v>
      </c>
      <c r="H43" s="154">
        <v>312515</v>
      </c>
      <c r="I43" s="154">
        <v>333855</v>
      </c>
      <c r="J43" s="158">
        <v>0.14099999999999999</v>
      </c>
    </row>
    <row r="44" spans="1:23">
      <c r="A44" s="255"/>
      <c r="B44" s="152" t="s">
        <v>297</v>
      </c>
      <c r="C44" s="154">
        <v>336852</v>
      </c>
      <c r="D44" s="154">
        <v>385178</v>
      </c>
      <c r="E44" s="154">
        <v>612531</v>
      </c>
      <c r="F44" s="158">
        <v>0.81799999999999995</v>
      </c>
      <c r="G44" s="154">
        <v>537090</v>
      </c>
      <c r="H44" s="154">
        <v>558203</v>
      </c>
      <c r="I44" s="154">
        <v>582950</v>
      </c>
      <c r="J44" s="158">
        <v>8.5000000000000006E-2</v>
      </c>
    </row>
    <row r="45" spans="1:23">
      <c r="A45" s="255"/>
    </row>
    <row r="46" spans="1:23" ht="48">
      <c r="A46" s="255"/>
      <c r="B46" s="152"/>
      <c r="C46" s="156" t="s">
        <v>352</v>
      </c>
      <c r="D46" s="156" t="s">
        <v>353</v>
      </c>
      <c r="E46" s="156" t="s">
        <v>354</v>
      </c>
      <c r="F46" s="156" t="s">
        <v>288</v>
      </c>
      <c r="G46" s="156" t="s">
        <v>355</v>
      </c>
      <c r="H46" s="156" t="s">
        <v>356</v>
      </c>
      <c r="I46" s="156" t="s">
        <v>357</v>
      </c>
      <c r="J46" s="156" t="s">
        <v>288</v>
      </c>
    </row>
    <row r="47" spans="1:23">
      <c r="A47" s="255"/>
      <c r="B47" s="152" t="s">
        <v>301</v>
      </c>
      <c r="C47" s="153">
        <v>74</v>
      </c>
      <c r="D47" s="153">
        <v>78</v>
      </c>
      <c r="E47" s="153">
        <v>314</v>
      </c>
      <c r="F47" s="158">
        <f>(E47-C47)/C47</f>
        <v>3.2432432432432434</v>
      </c>
      <c r="G47" s="154">
        <v>1416</v>
      </c>
      <c r="H47" s="154">
        <v>1313</v>
      </c>
      <c r="I47" s="154">
        <v>2287</v>
      </c>
      <c r="J47" s="158">
        <v>0.61499999999999999</v>
      </c>
    </row>
    <row r="48" spans="1:23">
      <c r="A48" s="255"/>
      <c r="B48" s="160" t="s">
        <v>17</v>
      </c>
      <c r="C48" s="161">
        <v>263</v>
      </c>
      <c r="D48" s="161">
        <v>242</v>
      </c>
      <c r="E48" s="161">
        <v>259</v>
      </c>
      <c r="F48" s="162">
        <f t="shared" ref="F48:F51" si="0">(E48-C48)/C48</f>
        <v>-1.5209125475285171E-2</v>
      </c>
      <c r="G48" s="161">
        <v>871</v>
      </c>
      <c r="H48" s="163">
        <v>1168</v>
      </c>
      <c r="I48" s="163">
        <v>1329</v>
      </c>
      <c r="J48" s="162">
        <v>0.52600000000000002</v>
      </c>
    </row>
    <row r="49" spans="1:10">
      <c r="A49" s="255"/>
      <c r="B49" s="152" t="s">
        <v>302</v>
      </c>
      <c r="C49" s="153">
        <v>67</v>
      </c>
      <c r="D49" s="153">
        <v>94</v>
      </c>
      <c r="E49" s="153">
        <v>0</v>
      </c>
      <c r="F49" s="158">
        <f t="shared" si="0"/>
        <v>-1</v>
      </c>
      <c r="G49" s="153">
        <v>450</v>
      </c>
      <c r="H49" s="153">
        <v>445</v>
      </c>
      <c r="I49" s="153">
        <v>553</v>
      </c>
      <c r="J49" s="158">
        <v>0.22900000000000001</v>
      </c>
    </row>
    <row r="50" spans="1:10">
      <c r="A50" s="255"/>
      <c r="B50" s="152" t="s">
        <v>303</v>
      </c>
      <c r="C50" s="153">
        <v>23</v>
      </c>
      <c r="D50" s="153">
        <v>27</v>
      </c>
      <c r="E50" s="153">
        <v>91</v>
      </c>
      <c r="F50" s="158">
        <f t="shared" si="0"/>
        <v>2.9565217391304346</v>
      </c>
      <c r="G50" s="154">
        <v>1470</v>
      </c>
      <c r="H50" s="154">
        <v>2247</v>
      </c>
      <c r="I50" s="154">
        <v>2614</v>
      </c>
      <c r="J50" s="158">
        <v>0.77800000000000002</v>
      </c>
    </row>
    <row r="51" spans="1:10">
      <c r="A51" s="255"/>
      <c r="B51" s="152" t="s">
        <v>304</v>
      </c>
      <c r="C51" s="153">
        <v>344</v>
      </c>
      <c r="D51" s="153">
        <v>86</v>
      </c>
      <c r="E51" s="153">
        <v>161</v>
      </c>
      <c r="F51" s="158">
        <f t="shared" si="0"/>
        <v>-0.53197674418604646</v>
      </c>
      <c r="G51" s="154">
        <v>3689</v>
      </c>
      <c r="H51" s="154">
        <v>4297</v>
      </c>
      <c r="I51" s="154">
        <v>3586</v>
      </c>
      <c r="J51" s="158">
        <v>-2.8000000000000001E-2</v>
      </c>
    </row>
    <row r="53" spans="1:10" s="125" customFormat="1"/>
  </sheetData>
  <mergeCells count="4">
    <mergeCell ref="A2:F5"/>
    <mergeCell ref="A7:A19"/>
    <mergeCell ref="A24:A36"/>
    <mergeCell ref="A40:A51"/>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8D3EA-DE37-43C6-8C86-F28AD8F74F44}">
  <sheetPr>
    <tabColor rgb="FF066034"/>
  </sheetPr>
  <dimension ref="A1:N95"/>
  <sheetViews>
    <sheetView zoomScale="86" workbookViewId="0">
      <selection activeCell="B68" sqref="B68"/>
    </sheetView>
  </sheetViews>
  <sheetFormatPr baseColWidth="10" defaultColWidth="8.83203125" defaultRowHeight="15"/>
  <cols>
    <col min="1" max="1" width="24.83203125" customWidth="1"/>
    <col min="2" max="2" width="26.33203125" customWidth="1"/>
    <col min="3" max="3" width="13" customWidth="1"/>
    <col min="4" max="5" width="10.5" bestFit="1" customWidth="1"/>
    <col min="6" max="6" width="9.1640625" bestFit="1" customWidth="1"/>
    <col min="7" max="7" width="11.1640625" customWidth="1"/>
    <col min="8" max="8" width="14.5" customWidth="1"/>
    <col min="9" max="9" width="10.5" bestFit="1" customWidth="1"/>
    <col min="10" max="10" width="9.1640625" bestFit="1" customWidth="1"/>
    <col min="11" max="11" width="9.5" bestFit="1" customWidth="1"/>
    <col min="12" max="14" width="9.33203125" bestFit="1" customWidth="1"/>
  </cols>
  <sheetData>
    <row r="1" spans="1:14" ht="38" customHeight="1">
      <c r="A1" s="143" t="s">
        <v>359</v>
      </c>
    </row>
    <row r="2" spans="1:14" ht="64">
      <c r="A2" s="255" t="s">
        <v>350</v>
      </c>
      <c r="B2" s="153"/>
      <c r="C2" s="156" t="s">
        <v>360</v>
      </c>
      <c r="D2" s="156" t="s">
        <v>361</v>
      </c>
      <c r="E2" s="156" t="s">
        <v>362</v>
      </c>
      <c r="F2" s="156" t="s">
        <v>288</v>
      </c>
      <c r="G2" s="156" t="s">
        <v>363</v>
      </c>
      <c r="H2" s="156" t="s">
        <v>364</v>
      </c>
      <c r="I2" s="156" t="s">
        <v>365</v>
      </c>
      <c r="J2" s="156" t="s">
        <v>288</v>
      </c>
      <c r="K2" s="156" t="s">
        <v>366</v>
      </c>
      <c r="L2" s="156" t="s">
        <v>367</v>
      </c>
      <c r="M2" s="156" t="s">
        <v>368</v>
      </c>
      <c r="N2" s="156" t="s">
        <v>288</v>
      </c>
    </row>
    <row r="3" spans="1:14">
      <c r="A3" s="259"/>
      <c r="B3" s="153" t="s">
        <v>17</v>
      </c>
      <c r="C3" s="164">
        <v>47379</v>
      </c>
      <c r="D3" s="164">
        <v>66607</v>
      </c>
      <c r="E3" s="164">
        <v>84452</v>
      </c>
      <c r="F3" s="158">
        <v>0.78200000000000003</v>
      </c>
      <c r="G3" s="164">
        <v>81950</v>
      </c>
      <c r="H3" s="164">
        <v>95517</v>
      </c>
      <c r="I3" s="164">
        <v>130000</v>
      </c>
      <c r="J3" s="158">
        <v>0.58599999999999997</v>
      </c>
      <c r="K3" s="164">
        <v>39921</v>
      </c>
      <c r="L3" s="164">
        <v>52947</v>
      </c>
      <c r="M3" s="164">
        <v>61141</v>
      </c>
      <c r="N3" s="158">
        <v>0.53200000000000003</v>
      </c>
    </row>
    <row r="4" spans="1:14">
      <c r="A4" s="259"/>
      <c r="B4" s="153" t="s">
        <v>24</v>
      </c>
      <c r="C4" s="164">
        <v>51376</v>
      </c>
      <c r="D4" s="164">
        <v>65116</v>
      </c>
      <c r="E4" s="164">
        <v>80644</v>
      </c>
      <c r="F4" s="158">
        <v>0.56999999999999995</v>
      </c>
      <c r="G4" s="164">
        <v>70934</v>
      </c>
      <c r="H4" s="164">
        <v>91110</v>
      </c>
      <c r="I4" s="164">
        <v>110882</v>
      </c>
      <c r="J4" s="158">
        <v>0.56299999999999994</v>
      </c>
      <c r="K4" s="164">
        <v>35402</v>
      </c>
      <c r="L4" s="164">
        <v>44301</v>
      </c>
      <c r="M4" s="164">
        <v>54357</v>
      </c>
      <c r="N4" s="158">
        <v>0.53500000000000003</v>
      </c>
    </row>
    <row r="5" spans="1:14">
      <c r="A5" s="259"/>
      <c r="B5" s="153" t="s">
        <v>215</v>
      </c>
      <c r="C5" s="164">
        <v>57000</v>
      </c>
      <c r="D5" s="164">
        <v>71193</v>
      </c>
      <c r="E5" s="164">
        <v>89724</v>
      </c>
      <c r="F5" s="158">
        <v>0.57399999999999995</v>
      </c>
      <c r="G5" s="164">
        <v>73823</v>
      </c>
      <c r="H5" s="164">
        <v>89903</v>
      </c>
      <c r="I5" s="164">
        <v>111273</v>
      </c>
      <c r="J5" s="158">
        <v>0.50700000000000001</v>
      </c>
      <c r="K5" s="164">
        <v>35957</v>
      </c>
      <c r="L5" s="164">
        <v>46330</v>
      </c>
      <c r="M5" s="164">
        <v>58686</v>
      </c>
      <c r="N5" s="158">
        <v>0.63200000000000001</v>
      </c>
    </row>
    <row r="6" spans="1:14">
      <c r="A6" s="259"/>
      <c r="B6" s="153" t="s">
        <v>297</v>
      </c>
      <c r="C6" s="164">
        <v>49620</v>
      </c>
      <c r="D6" s="164">
        <v>61224</v>
      </c>
      <c r="E6" s="164">
        <v>77353</v>
      </c>
      <c r="F6" s="158">
        <v>0.55900000000000005</v>
      </c>
      <c r="G6" s="164">
        <v>63965</v>
      </c>
      <c r="H6" s="164">
        <v>77223</v>
      </c>
      <c r="I6" s="164">
        <v>96363</v>
      </c>
      <c r="J6" s="158">
        <v>0.50600000000000001</v>
      </c>
      <c r="K6" s="164">
        <v>30982</v>
      </c>
      <c r="L6" s="164">
        <v>33636</v>
      </c>
      <c r="M6" s="164">
        <v>49820</v>
      </c>
      <c r="N6" s="158">
        <v>0.60799999999999998</v>
      </c>
    </row>
    <row r="7" spans="1:14">
      <c r="A7" s="259"/>
    </row>
    <row r="8" spans="1:14" ht="64">
      <c r="A8" s="259"/>
      <c r="B8" s="153"/>
      <c r="C8" s="156" t="s">
        <v>360</v>
      </c>
      <c r="D8" s="156" t="s">
        <v>361</v>
      </c>
      <c r="E8" s="156" t="s">
        <v>362</v>
      </c>
      <c r="F8" s="156" t="s">
        <v>288</v>
      </c>
      <c r="G8" s="156" t="s">
        <v>363</v>
      </c>
      <c r="H8" s="156" t="s">
        <v>364</v>
      </c>
      <c r="I8" s="156" t="s">
        <v>365</v>
      </c>
      <c r="J8" s="156" t="s">
        <v>288</v>
      </c>
      <c r="K8" s="156" t="s">
        <v>366</v>
      </c>
      <c r="L8" s="156" t="s">
        <v>367</v>
      </c>
      <c r="M8" s="156" t="s">
        <v>368</v>
      </c>
      <c r="N8" s="156" t="s">
        <v>288</v>
      </c>
    </row>
    <row r="9" spans="1:14">
      <c r="A9" s="259"/>
      <c r="B9" s="153" t="s">
        <v>301</v>
      </c>
      <c r="C9" s="164">
        <v>69277</v>
      </c>
      <c r="D9" s="164">
        <v>101607</v>
      </c>
      <c r="E9" s="164">
        <v>117663</v>
      </c>
      <c r="F9" s="158">
        <v>0.69799999999999995</v>
      </c>
      <c r="G9" s="164">
        <v>112962</v>
      </c>
      <c r="H9" s="164">
        <v>163218</v>
      </c>
      <c r="I9" s="164">
        <v>202058</v>
      </c>
      <c r="J9" s="158">
        <v>0.78900000000000003</v>
      </c>
      <c r="K9" s="164">
        <v>46911</v>
      </c>
      <c r="L9" s="164">
        <v>59382</v>
      </c>
      <c r="M9" s="164">
        <v>70512</v>
      </c>
      <c r="N9" s="158">
        <v>0.496</v>
      </c>
    </row>
    <row r="10" spans="1:14">
      <c r="A10" s="259"/>
      <c r="B10" s="153" t="s">
        <v>17</v>
      </c>
      <c r="C10" s="164">
        <v>47379</v>
      </c>
      <c r="D10" s="164">
        <v>66607</v>
      </c>
      <c r="E10" s="164">
        <v>84452</v>
      </c>
      <c r="F10" s="158">
        <v>0.78200000000000003</v>
      </c>
      <c r="G10" s="164">
        <v>81950</v>
      </c>
      <c r="H10" s="164">
        <v>95517</v>
      </c>
      <c r="I10" s="164">
        <v>130000</v>
      </c>
      <c r="J10" s="158">
        <v>0.58599999999999997</v>
      </c>
      <c r="K10" s="164">
        <v>39921</v>
      </c>
      <c r="L10" s="164">
        <v>52947</v>
      </c>
      <c r="M10" s="164">
        <v>61141</v>
      </c>
      <c r="N10" s="158">
        <v>0.53200000000000003</v>
      </c>
    </row>
    <row r="11" spans="1:14">
      <c r="A11" s="259"/>
      <c r="B11" s="153" t="s">
        <v>302</v>
      </c>
      <c r="C11" s="164">
        <v>42482</v>
      </c>
      <c r="D11" s="164">
        <v>61007</v>
      </c>
      <c r="E11" s="164">
        <v>67235</v>
      </c>
      <c r="F11" s="158">
        <v>0.58299999999999996</v>
      </c>
      <c r="G11" s="164">
        <v>46166</v>
      </c>
      <c r="H11" s="164">
        <v>70593</v>
      </c>
      <c r="I11" s="164">
        <v>93728</v>
      </c>
      <c r="J11" s="158">
        <v>1.03</v>
      </c>
      <c r="K11" s="164">
        <v>40891</v>
      </c>
      <c r="L11" s="164">
        <v>45906</v>
      </c>
      <c r="M11" s="164">
        <v>48042</v>
      </c>
      <c r="N11" s="158">
        <v>0.17499999999999999</v>
      </c>
    </row>
    <row r="12" spans="1:14">
      <c r="A12" s="259"/>
      <c r="B12" s="153" t="s">
        <v>303</v>
      </c>
      <c r="C12" s="164">
        <v>79959</v>
      </c>
      <c r="D12" s="164">
        <v>96470</v>
      </c>
      <c r="E12" s="164">
        <v>121903</v>
      </c>
      <c r="F12" s="158">
        <v>0.52500000000000002</v>
      </c>
      <c r="G12" s="164">
        <v>107480</v>
      </c>
      <c r="H12" s="164">
        <v>144231</v>
      </c>
      <c r="I12" s="164">
        <v>193419</v>
      </c>
      <c r="J12" s="158">
        <v>0.8</v>
      </c>
      <c r="K12" s="164">
        <v>57740</v>
      </c>
      <c r="L12" s="164">
        <v>69380</v>
      </c>
      <c r="M12" s="164">
        <v>73618</v>
      </c>
      <c r="N12" s="158">
        <v>0.27500000000000002</v>
      </c>
    </row>
    <row r="13" spans="1:14">
      <c r="A13" s="259"/>
      <c r="B13" s="153" t="s">
        <v>304</v>
      </c>
      <c r="C13" s="164">
        <v>63917</v>
      </c>
      <c r="D13" s="164">
        <v>80998</v>
      </c>
      <c r="E13" s="164">
        <v>104340</v>
      </c>
      <c r="F13" s="158">
        <v>0.63200000000000001</v>
      </c>
      <c r="G13" s="164">
        <v>122231</v>
      </c>
      <c r="H13" s="164">
        <v>183203</v>
      </c>
      <c r="I13" s="164">
        <v>158494</v>
      </c>
      <c r="J13" s="158">
        <v>0.29699999999999999</v>
      </c>
      <c r="K13" s="164">
        <v>42365</v>
      </c>
      <c r="L13" s="164">
        <v>63486</v>
      </c>
      <c r="M13" s="164">
        <v>79542</v>
      </c>
      <c r="N13" s="158">
        <v>0.878</v>
      </c>
    </row>
    <row r="14" spans="1:14">
      <c r="A14" s="259"/>
    </row>
    <row r="15" spans="1:14" s="125" customFormat="1"/>
    <row r="16" spans="1:14" ht="29.5" customHeight="1">
      <c r="A16" s="143" t="s">
        <v>369</v>
      </c>
      <c r="B16" s="109">
        <v>2024</v>
      </c>
    </row>
    <row r="17" spans="1:8" ht="32">
      <c r="A17" s="256" t="s">
        <v>386</v>
      </c>
      <c r="B17" s="127"/>
      <c r="C17" s="126" t="s">
        <v>379</v>
      </c>
      <c r="D17" s="126" t="s">
        <v>380</v>
      </c>
      <c r="E17" s="126" t="s">
        <v>381</v>
      </c>
      <c r="F17" s="126" t="s">
        <v>382</v>
      </c>
      <c r="G17" s="126" t="s">
        <v>383</v>
      </c>
      <c r="H17" s="126" t="s">
        <v>384</v>
      </c>
    </row>
    <row r="18" spans="1:8">
      <c r="A18" s="257"/>
      <c r="B18" s="127" t="s">
        <v>17</v>
      </c>
      <c r="C18" s="203" t="s">
        <v>385</v>
      </c>
      <c r="D18" s="130">
        <v>0.216</v>
      </c>
      <c r="E18" s="130">
        <v>0.20899999999999999</v>
      </c>
      <c r="F18" s="130">
        <v>0.23300000000000001</v>
      </c>
      <c r="G18" s="130">
        <v>0.126</v>
      </c>
      <c r="H18" s="130">
        <v>0.216</v>
      </c>
    </row>
    <row r="19" spans="1:8">
      <c r="A19" s="257"/>
      <c r="B19" s="127"/>
      <c r="C19" s="203" t="s">
        <v>298</v>
      </c>
      <c r="D19" s="130">
        <v>8.7999999999999995E-2</v>
      </c>
      <c r="E19" s="130">
        <v>0.193</v>
      </c>
      <c r="F19" s="130">
        <v>0.127</v>
      </c>
      <c r="G19" s="130">
        <v>0.157</v>
      </c>
      <c r="H19" s="130">
        <v>0.434</v>
      </c>
    </row>
    <row r="20" spans="1:8">
      <c r="A20" s="257"/>
      <c r="B20" s="127"/>
      <c r="C20" s="203" t="s">
        <v>299</v>
      </c>
      <c r="D20" s="130">
        <v>0.17199999999999999</v>
      </c>
      <c r="E20" s="130">
        <v>5.7000000000000002E-2</v>
      </c>
      <c r="F20" s="130">
        <v>0.16600000000000001</v>
      </c>
      <c r="G20" s="130">
        <v>0.113</v>
      </c>
      <c r="H20" s="130">
        <v>0.49299999999999999</v>
      </c>
    </row>
    <row r="21" spans="1:8">
      <c r="A21" s="257"/>
      <c r="B21" s="127"/>
      <c r="C21" s="203" t="s">
        <v>300</v>
      </c>
      <c r="D21" s="130">
        <v>0.30499999999999999</v>
      </c>
      <c r="E21" s="130">
        <v>0.29699999999999999</v>
      </c>
      <c r="F21" s="130">
        <v>9.2999999999999999E-2</v>
      </c>
      <c r="G21" s="130">
        <v>0.115</v>
      </c>
      <c r="H21" s="130">
        <v>0.19</v>
      </c>
    </row>
    <row r="22" spans="1:8">
      <c r="A22" s="257"/>
      <c r="B22" s="127"/>
      <c r="C22" s="203"/>
      <c r="D22" s="130"/>
      <c r="E22" s="130"/>
      <c r="F22" s="130"/>
      <c r="G22" s="130"/>
      <c r="H22" s="130"/>
    </row>
    <row r="23" spans="1:8">
      <c r="A23" s="257"/>
      <c r="B23" s="127" t="s">
        <v>24</v>
      </c>
      <c r="C23" s="203" t="s">
        <v>385</v>
      </c>
      <c r="D23" s="130">
        <v>0.28799999999999998</v>
      </c>
      <c r="E23" s="130">
        <v>0.30399999999999999</v>
      </c>
      <c r="F23" s="130">
        <v>0.16500000000000001</v>
      </c>
      <c r="G23" s="130">
        <v>0.122</v>
      </c>
      <c r="H23" s="130">
        <v>0.12</v>
      </c>
    </row>
    <row r="24" spans="1:8">
      <c r="A24" s="257"/>
      <c r="B24" s="127"/>
      <c r="C24" s="203" t="s">
        <v>298</v>
      </c>
      <c r="D24" s="130">
        <v>0.109</v>
      </c>
      <c r="E24" s="130">
        <v>0.16200000000000001</v>
      </c>
      <c r="F24" s="130">
        <v>0.16900000000000001</v>
      </c>
      <c r="G24" s="130">
        <v>0.121</v>
      </c>
      <c r="H24" s="130">
        <v>0.438</v>
      </c>
    </row>
    <row r="25" spans="1:8">
      <c r="A25" s="257"/>
      <c r="B25" s="127"/>
      <c r="C25" s="203" t="s">
        <v>299</v>
      </c>
      <c r="D25" s="130">
        <v>0.11799999999999999</v>
      </c>
      <c r="E25" s="130">
        <v>0.13500000000000001</v>
      </c>
      <c r="F25" s="130">
        <v>0.14899999999999999</v>
      </c>
      <c r="G25" s="130">
        <v>0.12</v>
      </c>
      <c r="H25" s="130">
        <v>0.47799999999999998</v>
      </c>
    </row>
    <row r="26" spans="1:8">
      <c r="A26" s="257"/>
      <c r="B26" s="127"/>
      <c r="C26" s="203" t="s">
        <v>300</v>
      </c>
      <c r="D26" s="130">
        <v>0.217</v>
      </c>
      <c r="E26" s="130">
        <v>0.223</v>
      </c>
      <c r="F26" s="130">
        <v>0.15</v>
      </c>
      <c r="G26" s="130">
        <v>0.114</v>
      </c>
      <c r="H26" s="130">
        <v>0.29499999999999998</v>
      </c>
    </row>
    <row r="27" spans="1:8">
      <c r="A27" s="257"/>
      <c r="B27" s="127"/>
      <c r="C27" s="203"/>
      <c r="D27" s="130"/>
      <c r="E27" s="130"/>
      <c r="F27" s="130"/>
      <c r="G27" s="130"/>
      <c r="H27" s="130"/>
    </row>
    <row r="28" spans="1:8">
      <c r="A28" s="257"/>
      <c r="B28" s="127" t="s">
        <v>215</v>
      </c>
      <c r="C28" s="203" t="s">
        <v>385</v>
      </c>
      <c r="D28" s="130">
        <v>0.251</v>
      </c>
      <c r="E28" s="130">
        <v>0.25600000000000001</v>
      </c>
      <c r="F28" s="130">
        <v>0.20599999999999999</v>
      </c>
      <c r="G28" s="130">
        <v>0.13100000000000001</v>
      </c>
      <c r="H28" s="130">
        <v>0.156</v>
      </c>
    </row>
    <row r="29" spans="1:8">
      <c r="A29" s="257"/>
      <c r="B29" s="127"/>
      <c r="C29" s="203" t="s">
        <v>298</v>
      </c>
      <c r="D29" s="130">
        <v>9.0999999999999998E-2</v>
      </c>
      <c r="E29" s="130">
        <v>0.14000000000000001</v>
      </c>
      <c r="F29" s="130">
        <v>0.157</v>
      </c>
      <c r="G29" s="130">
        <v>0.14199999999999999</v>
      </c>
      <c r="H29" s="130">
        <v>0.47</v>
      </c>
    </row>
    <row r="30" spans="1:8">
      <c r="A30" s="257"/>
      <c r="B30" s="127"/>
      <c r="C30" s="203" t="s">
        <v>299</v>
      </c>
      <c r="D30" s="130">
        <v>9.5000000000000001E-2</v>
      </c>
      <c r="E30" s="130">
        <v>0.113</v>
      </c>
      <c r="F30" s="130">
        <v>0.13100000000000001</v>
      </c>
      <c r="G30" s="130">
        <v>0.125</v>
      </c>
      <c r="H30" s="130">
        <v>0.53600000000000003</v>
      </c>
    </row>
    <row r="31" spans="1:8">
      <c r="A31" s="257"/>
      <c r="B31" s="127"/>
      <c r="C31" s="203" t="s">
        <v>300</v>
      </c>
      <c r="D31" s="130">
        <v>0.19600000000000001</v>
      </c>
      <c r="E31" s="130">
        <v>0.22</v>
      </c>
      <c r="F31" s="130">
        <v>0.16300000000000001</v>
      </c>
      <c r="G31" s="130">
        <v>0.122</v>
      </c>
      <c r="H31" s="130">
        <v>0.29899999999999999</v>
      </c>
    </row>
    <row r="32" spans="1:8">
      <c r="A32" s="199"/>
      <c r="B32" s="127"/>
      <c r="C32" s="203"/>
      <c r="D32" s="130"/>
      <c r="E32" s="130"/>
      <c r="F32" s="130"/>
      <c r="G32" s="130"/>
      <c r="H32" s="130"/>
    </row>
    <row r="33" spans="1:11">
      <c r="A33" s="14"/>
      <c r="B33" s="127" t="s">
        <v>297</v>
      </c>
      <c r="C33" s="203" t="s">
        <v>385</v>
      </c>
      <c r="D33" s="130">
        <v>0.29099999999999998</v>
      </c>
      <c r="E33" s="130">
        <v>0.28100000000000003</v>
      </c>
      <c r="F33" s="130">
        <v>0.19500000000000001</v>
      </c>
      <c r="G33" s="130">
        <v>0.113</v>
      </c>
      <c r="H33" s="130">
        <v>0.121</v>
      </c>
    </row>
    <row r="34" spans="1:11">
      <c r="A34" s="14"/>
      <c r="B34" s="127"/>
      <c r="C34" s="203" t="s">
        <v>298</v>
      </c>
      <c r="D34" s="130">
        <v>0.115</v>
      </c>
      <c r="E34" s="130">
        <v>0.16500000000000001</v>
      </c>
      <c r="F34" s="130">
        <v>0.17</v>
      </c>
      <c r="G34" s="130">
        <v>0.14399999999999999</v>
      </c>
      <c r="H34" s="130">
        <v>0.40699999999999997</v>
      </c>
    </row>
    <row r="35" spans="1:11">
      <c r="A35" s="14"/>
      <c r="B35" s="127"/>
      <c r="C35" s="203" t="s">
        <v>299</v>
      </c>
      <c r="D35" s="130">
        <v>0.125</v>
      </c>
      <c r="E35" s="130">
        <v>0.13500000000000001</v>
      </c>
      <c r="F35" s="130">
        <v>0.14099999999999999</v>
      </c>
      <c r="G35" s="130">
        <v>0.129</v>
      </c>
      <c r="H35" s="130">
        <v>0.47</v>
      </c>
    </row>
    <row r="36" spans="1:11">
      <c r="A36" s="14"/>
      <c r="B36" s="127"/>
      <c r="C36" s="203" t="s">
        <v>300</v>
      </c>
      <c r="D36" s="130">
        <v>0.23</v>
      </c>
      <c r="E36" s="130">
        <v>0.23300000000000001</v>
      </c>
      <c r="F36" s="130">
        <v>0.16400000000000001</v>
      </c>
      <c r="G36" s="130">
        <v>0.115</v>
      </c>
      <c r="H36" s="130">
        <v>0.25800000000000001</v>
      </c>
    </row>
    <row r="37" spans="1:11">
      <c r="A37" s="14"/>
      <c r="B37" s="127"/>
      <c r="C37" s="203"/>
      <c r="D37" s="130"/>
      <c r="E37" s="130"/>
      <c r="F37" s="130"/>
      <c r="G37" s="130"/>
      <c r="H37" s="130"/>
    </row>
    <row r="38" spans="1:11">
      <c r="A38" s="14"/>
      <c r="B38" s="200"/>
      <c r="C38" s="201"/>
      <c r="D38" s="202"/>
      <c r="E38" s="202"/>
      <c r="F38" s="202"/>
      <c r="G38" s="202"/>
      <c r="H38" s="202"/>
    </row>
    <row r="39" spans="1:11">
      <c r="A39" s="14"/>
      <c r="B39" s="152"/>
      <c r="C39" s="159"/>
      <c r="D39" s="157"/>
      <c r="E39" s="157"/>
      <c r="F39" s="157"/>
      <c r="G39" s="157"/>
      <c r="H39" s="157"/>
    </row>
    <row r="40" spans="1:11">
      <c r="A40" s="14"/>
    </row>
    <row r="42" spans="1:11" s="125" customFormat="1"/>
    <row r="43" spans="1:11" ht="32">
      <c r="A43" s="143" t="s">
        <v>370</v>
      </c>
    </row>
    <row r="44" spans="1:11" ht="64">
      <c r="A44" s="260" t="s">
        <v>387</v>
      </c>
      <c r="B44" s="153"/>
      <c r="C44" s="156" t="s">
        <v>371</v>
      </c>
      <c r="D44" s="156" t="s">
        <v>372</v>
      </c>
      <c r="E44" s="156" t="s">
        <v>373</v>
      </c>
      <c r="F44" s="156" t="s">
        <v>288</v>
      </c>
      <c r="G44" s="156" t="s">
        <v>374</v>
      </c>
      <c r="H44" s="156" t="s">
        <v>375</v>
      </c>
      <c r="I44" s="156" t="s">
        <v>376</v>
      </c>
      <c r="J44" s="156" t="s">
        <v>288</v>
      </c>
      <c r="K44" s="156" t="s">
        <v>377</v>
      </c>
    </row>
    <row r="45" spans="1:11">
      <c r="A45" s="258"/>
      <c r="B45" s="153" t="s">
        <v>17</v>
      </c>
      <c r="C45" s="164">
        <v>81950</v>
      </c>
      <c r="D45" s="164">
        <v>95517</v>
      </c>
      <c r="E45" s="164">
        <v>130000</v>
      </c>
      <c r="F45" s="158">
        <v>0.58599999999999997</v>
      </c>
      <c r="G45" s="164">
        <v>39921</v>
      </c>
      <c r="H45" s="164">
        <v>52947</v>
      </c>
      <c r="I45" s="164">
        <v>61141</v>
      </c>
      <c r="J45" s="158">
        <v>0.53200000000000003</v>
      </c>
      <c r="K45" s="164">
        <v>68859</v>
      </c>
    </row>
    <row r="46" spans="1:11">
      <c r="A46" s="258"/>
      <c r="B46" s="153" t="s">
        <v>24</v>
      </c>
      <c r="C46" s="164">
        <v>70934</v>
      </c>
      <c r="D46" s="164">
        <v>91110</v>
      </c>
      <c r="E46" s="164">
        <v>110882</v>
      </c>
      <c r="F46" s="158">
        <v>0.56299999999999994</v>
      </c>
      <c r="G46" s="164">
        <v>35402</v>
      </c>
      <c r="H46" s="164">
        <v>44301</v>
      </c>
      <c r="I46" s="164">
        <v>54357</v>
      </c>
      <c r="J46" s="158">
        <v>0.53500000000000003</v>
      </c>
      <c r="K46" s="164">
        <v>56525</v>
      </c>
    </row>
    <row r="47" spans="1:11">
      <c r="A47" s="258"/>
      <c r="B47" s="153" t="s">
        <v>215</v>
      </c>
      <c r="C47" s="164">
        <v>73823</v>
      </c>
      <c r="D47" s="164">
        <v>89903</v>
      </c>
      <c r="E47" s="164">
        <v>111273</v>
      </c>
      <c r="F47" s="158">
        <v>0.50700000000000001</v>
      </c>
      <c r="G47" s="164">
        <v>35957</v>
      </c>
      <c r="H47" s="164">
        <v>46330</v>
      </c>
      <c r="I47" s="164">
        <v>58686</v>
      </c>
      <c r="J47" s="158">
        <v>0.63200000000000001</v>
      </c>
      <c r="K47" s="164">
        <v>52587</v>
      </c>
    </row>
    <row r="48" spans="1:11">
      <c r="A48" s="258"/>
      <c r="B48" s="153" t="s">
        <v>297</v>
      </c>
      <c r="C48" s="164">
        <v>63965</v>
      </c>
      <c r="D48" s="164">
        <v>77223</v>
      </c>
      <c r="E48" s="164">
        <v>96363</v>
      </c>
      <c r="F48" s="158">
        <v>0.50600000000000001</v>
      </c>
      <c r="G48" s="164">
        <v>30982</v>
      </c>
      <c r="H48" s="164">
        <v>33636</v>
      </c>
      <c r="I48" s="164">
        <v>49820</v>
      </c>
      <c r="J48" s="158">
        <v>0.60799999999999998</v>
      </c>
      <c r="K48" s="164">
        <v>46543</v>
      </c>
    </row>
    <row r="49" spans="1:11">
      <c r="A49" s="258"/>
      <c r="B49" s="14"/>
      <c r="C49" s="14"/>
      <c r="D49" s="14"/>
      <c r="E49" s="14"/>
      <c r="F49" s="14"/>
      <c r="G49" s="14"/>
      <c r="H49" s="14"/>
      <c r="I49" s="14"/>
      <c r="J49" s="14"/>
      <c r="K49" s="14"/>
    </row>
    <row r="50" spans="1:11" ht="64">
      <c r="A50" s="258"/>
      <c r="B50" s="153"/>
      <c r="C50" s="156" t="s">
        <v>371</v>
      </c>
      <c r="D50" s="156" t="s">
        <v>372</v>
      </c>
      <c r="E50" s="156" t="s">
        <v>373</v>
      </c>
      <c r="F50" s="156" t="s">
        <v>288</v>
      </c>
      <c r="G50" s="156" t="s">
        <v>374</v>
      </c>
      <c r="H50" s="156" t="s">
        <v>375</v>
      </c>
      <c r="I50" s="156" t="s">
        <v>376</v>
      </c>
      <c r="J50" s="156" t="s">
        <v>288</v>
      </c>
      <c r="K50" s="156" t="s">
        <v>377</v>
      </c>
    </row>
    <row r="51" spans="1:11">
      <c r="A51" s="258"/>
      <c r="B51" s="153" t="s">
        <v>301</v>
      </c>
      <c r="C51" s="164">
        <v>112962</v>
      </c>
      <c r="D51" s="164">
        <v>163218</v>
      </c>
      <c r="E51" s="164">
        <v>202058</v>
      </c>
      <c r="F51" s="158">
        <v>0.78900000000000003</v>
      </c>
      <c r="G51" s="164">
        <v>46911</v>
      </c>
      <c r="H51" s="164">
        <v>59382</v>
      </c>
      <c r="I51" s="164">
        <v>70512</v>
      </c>
      <c r="J51" s="158">
        <v>0.496</v>
      </c>
      <c r="K51" s="164">
        <v>131546</v>
      </c>
    </row>
    <row r="52" spans="1:11">
      <c r="A52" s="258"/>
      <c r="B52" s="153" t="s">
        <v>17</v>
      </c>
      <c r="C52" s="164">
        <v>81950</v>
      </c>
      <c r="D52" s="164">
        <v>95517</v>
      </c>
      <c r="E52" s="164">
        <v>130000</v>
      </c>
      <c r="F52" s="158">
        <v>0.58599999999999997</v>
      </c>
      <c r="G52" s="164">
        <v>39921</v>
      </c>
      <c r="H52" s="164">
        <v>52947</v>
      </c>
      <c r="I52" s="164">
        <v>61141</v>
      </c>
      <c r="J52" s="158">
        <v>0.53200000000000003</v>
      </c>
      <c r="K52" s="164">
        <v>68859</v>
      </c>
    </row>
    <row r="53" spans="1:11">
      <c r="A53" s="258"/>
      <c r="B53" s="153" t="s">
        <v>302</v>
      </c>
      <c r="C53" s="164">
        <v>46166</v>
      </c>
      <c r="D53" s="164">
        <v>70593</v>
      </c>
      <c r="E53" s="164">
        <v>93728</v>
      </c>
      <c r="F53" s="158">
        <v>1.03</v>
      </c>
      <c r="G53" s="164">
        <v>40891</v>
      </c>
      <c r="H53" s="164">
        <v>45906</v>
      </c>
      <c r="I53" s="164">
        <v>48042</v>
      </c>
      <c r="J53" s="158">
        <v>0.17499999999999999</v>
      </c>
      <c r="K53" s="164">
        <v>45686</v>
      </c>
    </row>
    <row r="54" spans="1:11">
      <c r="A54" s="258"/>
      <c r="B54" s="153" t="s">
        <v>303</v>
      </c>
      <c r="C54" s="164">
        <v>107480</v>
      </c>
      <c r="D54" s="164">
        <v>144231</v>
      </c>
      <c r="E54" s="164">
        <v>193419</v>
      </c>
      <c r="F54" s="158">
        <v>0.8</v>
      </c>
      <c r="G54" s="164">
        <v>57740</v>
      </c>
      <c r="H54" s="164">
        <v>69380</v>
      </c>
      <c r="I54" s="164">
        <v>73618</v>
      </c>
      <c r="J54" s="158">
        <v>0.27500000000000002</v>
      </c>
      <c r="K54" s="164">
        <v>119801</v>
      </c>
    </row>
    <row r="55" spans="1:11">
      <c r="A55" s="258"/>
      <c r="B55" s="153" t="s">
        <v>304</v>
      </c>
      <c r="C55" s="164">
        <v>122231</v>
      </c>
      <c r="D55" s="164">
        <v>183203</v>
      </c>
      <c r="E55" s="164">
        <v>158494</v>
      </c>
      <c r="F55" s="158">
        <v>0.29699999999999999</v>
      </c>
      <c r="G55" s="164">
        <v>42365</v>
      </c>
      <c r="H55" s="164">
        <v>63486</v>
      </c>
      <c r="I55" s="164">
        <v>79542</v>
      </c>
      <c r="J55" s="158">
        <v>0.878</v>
      </c>
      <c r="K55" s="164">
        <v>78952</v>
      </c>
    </row>
    <row r="56" spans="1:11">
      <c r="A56" s="258"/>
    </row>
    <row r="57" spans="1:11">
      <c r="B57" s="261" t="s">
        <v>378</v>
      </c>
      <c r="C57" s="261"/>
      <c r="D57" s="261"/>
      <c r="E57" s="261"/>
      <c r="F57" s="261"/>
      <c r="G57" s="261"/>
      <c r="H57" s="261"/>
      <c r="I57" s="261"/>
      <c r="J57" s="261"/>
      <c r="K57" s="261"/>
    </row>
    <row r="58" spans="1:11">
      <c r="B58" s="261"/>
      <c r="C58" s="261"/>
      <c r="D58" s="261"/>
      <c r="E58" s="261"/>
      <c r="F58" s="261"/>
      <c r="G58" s="261"/>
      <c r="H58" s="261"/>
      <c r="I58" s="261"/>
      <c r="J58" s="261"/>
      <c r="K58" s="261"/>
    </row>
    <row r="59" spans="1:11">
      <c r="B59" s="261"/>
      <c r="C59" s="261"/>
      <c r="D59" s="261"/>
      <c r="E59" s="261"/>
      <c r="F59" s="261"/>
      <c r="G59" s="261"/>
      <c r="H59" s="261"/>
      <c r="I59" s="261"/>
      <c r="J59" s="261"/>
      <c r="K59" s="261"/>
    </row>
    <row r="60" spans="1:11">
      <c r="B60" s="261"/>
      <c r="C60" s="261"/>
      <c r="D60" s="261"/>
      <c r="E60" s="261"/>
      <c r="F60" s="261"/>
      <c r="G60" s="261"/>
      <c r="H60" s="261"/>
      <c r="I60" s="261"/>
      <c r="J60" s="261"/>
      <c r="K60" s="261"/>
    </row>
    <row r="61" spans="1:11" ht="63.5" customHeight="1">
      <c r="B61" s="261"/>
      <c r="C61" s="261"/>
      <c r="D61" s="261"/>
      <c r="E61" s="261"/>
      <c r="F61" s="261"/>
      <c r="G61" s="261"/>
      <c r="H61" s="261"/>
      <c r="I61" s="261"/>
      <c r="J61" s="261"/>
      <c r="K61" s="261"/>
    </row>
    <row r="63" spans="1:11" s="125" customFormat="1"/>
    <row r="64" spans="1:11" ht="16">
      <c r="A64" s="143" t="s">
        <v>388</v>
      </c>
    </row>
    <row r="65" spans="1:6" ht="16">
      <c r="A65" s="260" t="s">
        <v>350</v>
      </c>
      <c r="B65" s="165"/>
      <c r="C65" s="156">
        <v>2015</v>
      </c>
      <c r="D65" s="156">
        <v>2020</v>
      </c>
      <c r="E65" s="156">
        <v>2024</v>
      </c>
      <c r="F65" s="156" t="s">
        <v>288</v>
      </c>
    </row>
    <row r="66" spans="1:6">
      <c r="A66" s="258"/>
      <c r="B66" s="153" t="s">
        <v>17</v>
      </c>
      <c r="C66" s="157">
        <v>0.06</v>
      </c>
      <c r="D66" s="157">
        <v>3.7999999999999999E-2</v>
      </c>
      <c r="E66" s="157">
        <v>2.1999999999999999E-2</v>
      </c>
      <c r="F66" s="157">
        <v>-3.7999999999999999E-2</v>
      </c>
    </row>
    <row r="67" spans="1:6">
      <c r="A67" s="258"/>
      <c r="B67" s="153" t="s">
        <v>24</v>
      </c>
      <c r="C67" s="157">
        <v>0.111</v>
      </c>
      <c r="D67" s="157">
        <v>6.7000000000000004E-2</v>
      </c>
      <c r="E67" s="157">
        <v>6.4000000000000001E-2</v>
      </c>
      <c r="F67" s="157">
        <v>-4.7E-2</v>
      </c>
    </row>
    <row r="68" spans="1:6">
      <c r="A68" s="258"/>
      <c r="B68" s="153" t="s">
        <v>215</v>
      </c>
      <c r="C68" s="157">
        <v>9.5000000000000001E-2</v>
      </c>
      <c r="D68" s="157">
        <v>5.1999999999999998E-2</v>
      </c>
      <c r="E68" s="157">
        <v>0.05</v>
      </c>
      <c r="F68" s="157">
        <v>-4.4999999999999998E-2</v>
      </c>
    </row>
    <row r="69" spans="1:6">
      <c r="A69" s="258"/>
      <c r="B69" s="153" t="s">
        <v>297</v>
      </c>
      <c r="C69" s="157">
        <v>9.7000000000000003E-2</v>
      </c>
      <c r="D69" s="157">
        <v>5.6000000000000001E-2</v>
      </c>
      <c r="E69" s="157">
        <v>5.0999999999999997E-2</v>
      </c>
      <c r="F69" s="157">
        <v>-4.5999999999999999E-2</v>
      </c>
    </row>
    <row r="70" spans="1:6">
      <c r="A70" s="258"/>
      <c r="B70" s="14"/>
      <c r="C70" s="14"/>
      <c r="D70" s="14"/>
      <c r="E70" s="14"/>
      <c r="F70" s="14"/>
    </row>
    <row r="71" spans="1:6" ht="16">
      <c r="A71" s="258"/>
      <c r="B71" s="165"/>
      <c r="C71" s="156">
        <v>2015</v>
      </c>
      <c r="D71" s="156">
        <v>2020</v>
      </c>
      <c r="E71" s="156">
        <v>2024</v>
      </c>
      <c r="F71" s="156" t="s">
        <v>288</v>
      </c>
    </row>
    <row r="72" spans="1:6">
      <c r="A72" s="258"/>
      <c r="B72" s="153" t="s">
        <v>301</v>
      </c>
      <c r="C72" s="157">
        <v>3.9E-2</v>
      </c>
      <c r="D72" s="157">
        <v>2.5999999999999999E-2</v>
      </c>
      <c r="E72" s="157">
        <v>3.2000000000000001E-2</v>
      </c>
      <c r="F72" s="157">
        <v>-7.0000000000000001E-3</v>
      </c>
    </row>
    <row r="73" spans="1:6">
      <c r="A73" s="258"/>
      <c r="B73" s="153" t="s">
        <v>17</v>
      </c>
      <c r="C73" s="157">
        <v>0.06</v>
      </c>
      <c r="D73" s="157">
        <v>3.7999999999999999E-2</v>
      </c>
      <c r="E73" s="157">
        <v>2.1999999999999999E-2</v>
      </c>
      <c r="F73" s="157">
        <v>-3.7999999999999999E-2</v>
      </c>
    </row>
    <row r="74" spans="1:6">
      <c r="A74" s="258"/>
      <c r="B74" s="153" t="s">
        <v>302</v>
      </c>
      <c r="C74" s="157">
        <v>7.9000000000000001E-2</v>
      </c>
      <c r="D74" s="157">
        <v>2.5999999999999999E-2</v>
      </c>
      <c r="E74" s="157">
        <v>1.2E-2</v>
      </c>
      <c r="F74" s="157">
        <v>-6.7000000000000004E-2</v>
      </c>
    </row>
    <row r="75" spans="1:6">
      <c r="A75" s="258"/>
      <c r="B75" s="153" t="s">
        <v>303</v>
      </c>
      <c r="C75" s="157">
        <v>7.0000000000000007E-2</v>
      </c>
      <c r="D75" s="157">
        <v>2.5999999999999999E-2</v>
      </c>
      <c r="E75" s="157">
        <v>1.9E-2</v>
      </c>
      <c r="F75" s="157">
        <v>-5.0999999999999997E-2</v>
      </c>
    </row>
    <row r="76" spans="1:6">
      <c r="A76" s="258"/>
      <c r="B76" s="153" t="s">
        <v>304</v>
      </c>
      <c r="C76" s="157">
        <v>6.2E-2</v>
      </c>
      <c r="D76" s="157">
        <v>3.5999999999999997E-2</v>
      </c>
      <c r="E76" s="157">
        <v>0.04</v>
      </c>
      <c r="F76" s="157">
        <v>-2.1999999999999999E-2</v>
      </c>
    </row>
    <row r="77" spans="1:6">
      <c r="A77" s="258"/>
    </row>
    <row r="79" spans="1:6" s="125" customFormat="1"/>
    <row r="80" spans="1:6" ht="32">
      <c r="A80" s="143" t="s">
        <v>389</v>
      </c>
    </row>
    <row r="81" spans="1:5">
      <c r="A81" s="256" t="s">
        <v>350</v>
      </c>
      <c r="B81" s="205"/>
      <c r="C81" s="206">
        <v>2015</v>
      </c>
      <c r="D81" s="206">
        <v>2020</v>
      </c>
      <c r="E81" s="206">
        <v>2024</v>
      </c>
    </row>
    <row r="82" spans="1:5" ht="16">
      <c r="A82" s="257"/>
      <c r="B82" s="204" t="s">
        <v>17</v>
      </c>
      <c r="C82" s="207">
        <v>0.77800000000000002</v>
      </c>
      <c r="D82" s="207">
        <v>0.76400000000000001</v>
      </c>
      <c r="E82" s="207">
        <v>0.755</v>
      </c>
    </row>
    <row r="83" spans="1:5" ht="16">
      <c r="A83" s="257"/>
      <c r="B83" s="204" t="s">
        <v>24</v>
      </c>
      <c r="C83" s="207">
        <v>0.69099999999999995</v>
      </c>
      <c r="D83" s="207">
        <v>0.69</v>
      </c>
      <c r="E83" s="207">
        <v>0.68300000000000005</v>
      </c>
    </row>
    <row r="84" spans="1:5" ht="16">
      <c r="A84" s="257"/>
      <c r="B84" s="204" t="s">
        <v>215</v>
      </c>
      <c r="C84" s="207">
        <v>0.67200000000000004</v>
      </c>
      <c r="D84" s="207">
        <v>0.67100000000000004</v>
      </c>
      <c r="E84" s="207">
        <v>0.67500000000000004</v>
      </c>
    </row>
    <row r="85" spans="1:5" ht="16">
      <c r="A85" s="257"/>
      <c r="B85" s="204" t="s">
        <v>297</v>
      </c>
      <c r="C85" s="207">
        <v>0.63</v>
      </c>
      <c r="D85" s="207">
        <v>0.67500000000000004</v>
      </c>
      <c r="E85" s="207">
        <v>0.67100000000000004</v>
      </c>
    </row>
    <row r="86" spans="1:5">
      <c r="A86" s="258"/>
      <c r="B86" s="14"/>
      <c r="C86" s="14"/>
      <c r="D86" s="14"/>
      <c r="E86" s="14"/>
    </row>
    <row r="87" spans="1:5">
      <c r="A87" s="257"/>
      <c r="B87" s="205"/>
      <c r="C87" s="206">
        <v>2015</v>
      </c>
      <c r="D87" s="206">
        <v>2020</v>
      </c>
      <c r="E87" s="206">
        <v>2024</v>
      </c>
    </row>
    <row r="88" spans="1:5" ht="16">
      <c r="A88" s="257"/>
      <c r="B88" s="204" t="s">
        <v>301</v>
      </c>
      <c r="C88" s="207">
        <v>0.75700000000000001</v>
      </c>
      <c r="D88" s="207">
        <v>0.78800000000000003</v>
      </c>
      <c r="E88" s="207">
        <v>0.76600000000000001</v>
      </c>
    </row>
    <row r="89" spans="1:5" ht="16">
      <c r="A89" s="257"/>
      <c r="B89" s="204" t="s">
        <v>17</v>
      </c>
      <c r="C89" s="207">
        <v>0.77800000000000002</v>
      </c>
      <c r="D89" s="207">
        <v>0.76400000000000001</v>
      </c>
      <c r="E89" s="207">
        <v>0.755</v>
      </c>
    </row>
    <row r="90" spans="1:5" ht="16">
      <c r="A90" s="257"/>
      <c r="B90" s="204" t="s">
        <v>302</v>
      </c>
      <c r="C90" s="207">
        <v>0.76900000000000002</v>
      </c>
      <c r="D90" s="207">
        <v>0.752</v>
      </c>
      <c r="E90" s="207">
        <v>0.755</v>
      </c>
    </row>
    <row r="91" spans="1:5" ht="16">
      <c r="A91" s="257"/>
      <c r="B91" s="204" t="s">
        <v>303</v>
      </c>
      <c r="C91" s="207">
        <v>0.70799999999999996</v>
      </c>
      <c r="D91" s="207">
        <v>0.67900000000000005</v>
      </c>
      <c r="E91" s="207">
        <v>0.70899999999999996</v>
      </c>
    </row>
    <row r="92" spans="1:5" ht="16">
      <c r="A92" s="257"/>
      <c r="B92" s="204" t="s">
        <v>304</v>
      </c>
      <c r="C92" s="207">
        <v>0.73299999999999998</v>
      </c>
      <c r="D92" s="207">
        <v>0.73399999999999999</v>
      </c>
      <c r="E92" s="207">
        <v>0.74199999999999999</v>
      </c>
    </row>
    <row r="93" spans="1:5">
      <c r="A93" s="258"/>
    </row>
    <row r="95" spans="1:5" s="125" customFormat="1"/>
  </sheetData>
  <mergeCells count="6">
    <mergeCell ref="A81:A93"/>
    <mergeCell ref="A2:A14"/>
    <mergeCell ref="A17:A31"/>
    <mergeCell ref="A44:A56"/>
    <mergeCell ref="B57:K61"/>
    <mergeCell ref="A65:A7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BEB-7BC8-457A-8AE0-3366532A7935}">
  <sheetPr>
    <tabColor rgb="FFD7ECCC"/>
  </sheetPr>
  <dimension ref="A1:L97"/>
  <sheetViews>
    <sheetView topLeftCell="A97" workbookViewId="0">
      <selection activeCell="B40" sqref="B40"/>
    </sheetView>
  </sheetViews>
  <sheetFormatPr baseColWidth="10" defaultColWidth="8.83203125" defaultRowHeight="15"/>
  <cols>
    <col min="1" max="1" width="32" customWidth="1"/>
    <col min="2" max="2" width="42" customWidth="1"/>
    <col min="3" max="3" width="31.6640625" customWidth="1"/>
    <col min="4" max="4" width="34.6640625" customWidth="1"/>
    <col min="5" max="5" width="13.5" customWidth="1"/>
    <col min="6" max="6" width="42.5" customWidth="1"/>
    <col min="7" max="7" width="18.5" customWidth="1"/>
    <col min="8" max="9" width="8.83203125" customWidth="1"/>
    <col min="10" max="10" width="4.33203125" customWidth="1"/>
    <col min="11" max="11" width="22" customWidth="1"/>
  </cols>
  <sheetData>
    <row r="1" spans="1:12" ht="75.5" customHeight="1">
      <c r="A1" s="191" t="s">
        <v>390</v>
      </c>
      <c r="B1" s="179" t="s">
        <v>393</v>
      </c>
    </row>
    <row r="2" spans="1:12" ht="46.25" customHeight="1">
      <c r="A2" s="178" t="s">
        <v>391</v>
      </c>
      <c r="B2" s="178" t="s">
        <v>392</v>
      </c>
    </row>
    <row r="3" spans="1:12" ht="28.25" customHeight="1">
      <c r="A3" s="190">
        <v>41636</v>
      </c>
      <c r="B3" s="190">
        <v>30895</v>
      </c>
      <c r="K3" t="s">
        <v>414</v>
      </c>
    </row>
    <row r="4" spans="1:12" ht="16">
      <c r="A4" s="156" t="s">
        <v>394</v>
      </c>
      <c r="B4" s="156" t="s">
        <v>395</v>
      </c>
      <c r="F4" s="185" t="s">
        <v>405</v>
      </c>
      <c r="G4" s="185" t="s">
        <v>395</v>
      </c>
      <c r="K4" s="156" t="s">
        <v>412</v>
      </c>
      <c r="L4" s="156" t="s">
        <v>395</v>
      </c>
    </row>
    <row r="5" spans="1:12" ht="32">
      <c r="A5" s="188" t="s">
        <v>396</v>
      </c>
      <c r="B5" s="183">
        <v>30895</v>
      </c>
      <c r="F5" s="153" t="s">
        <v>406</v>
      </c>
      <c r="G5" s="154">
        <v>30895</v>
      </c>
      <c r="K5" s="155" t="s">
        <v>413</v>
      </c>
      <c r="L5" s="180">
        <v>30895</v>
      </c>
    </row>
    <row r="6" spans="1:12" ht="16">
      <c r="A6" s="155" t="s">
        <v>397</v>
      </c>
      <c r="B6" s="180">
        <v>20097</v>
      </c>
      <c r="F6" s="153" t="s">
        <v>407</v>
      </c>
      <c r="G6" s="154">
        <v>41636</v>
      </c>
      <c r="J6" s="139" t="s">
        <v>415</v>
      </c>
      <c r="K6" s="181" t="s">
        <v>408</v>
      </c>
      <c r="L6" s="180">
        <v>20097</v>
      </c>
    </row>
    <row r="7" spans="1:12" ht="16">
      <c r="A7" s="155" t="s">
        <v>398</v>
      </c>
      <c r="B7" s="180">
        <v>9356</v>
      </c>
      <c r="F7" s="153" t="s">
        <v>408</v>
      </c>
      <c r="G7" s="154">
        <v>20097</v>
      </c>
      <c r="J7" s="139" t="s">
        <v>416</v>
      </c>
      <c r="K7" s="181" t="s">
        <v>409</v>
      </c>
      <c r="L7" s="180">
        <v>9356</v>
      </c>
    </row>
    <row r="8" spans="1:12" ht="32">
      <c r="A8" s="155" t="s">
        <v>399</v>
      </c>
      <c r="B8" s="180">
        <v>10741</v>
      </c>
      <c r="F8" s="153" t="s">
        <v>409</v>
      </c>
      <c r="G8" s="154">
        <v>9356</v>
      </c>
      <c r="J8" s="139" t="s">
        <v>417</v>
      </c>
      <c r="K8" s="182" t="s">
        <v>402</v>
      </c>
      <c r="L8" s="183">
        <v>41636</v>
      </c>
    </row>
    <row r="9" spans="1:12" ht="16">
      <c r="A9" s="155" t="s">
        <v>400</v>
      </c>
      <c r="B9" s="155" t="s">
        <v>401</v>
      </c>
      <c r="F9" s="153" t="s">
        <v>410</v>
      </c>
      <c r="G9" s="154">
        <v>10741</v>
      </c>
    </row>
    <row r="10" spans="1:12" ht="16">
      <c r="A10" s="155" t="s">
        <v>402</v>
      </c>
      <c r="B10" s="180">
        <v>41636</v>
      </c>
      <c r="F10" s="186" t="s">
        <v>411</v>
      </c>
      <c r="G10" s="187">
        <v>0.34799999999999998</v>
      </c>
    </row>
    <row r="11" spans="1:12" ht="32">
      <c r="A11" s="155" t="s">
        <v>403</v>
      </c>
      <c r="B11" s="180">
        <v>10741</v>
      </c>
    </row>
    <row r="12" spans="1:12" ht="16">
      <c r="A12" s="155" t="s">
        <v>404</v>
      </c>
      <c r="B12" s="189">
        <v>0.34799999999999998</v>
      </c>
    </row>
    <row r="15" spans="1:12" ht="95" customHeight="1">
      <c r="A15" s="258" t="s">
        <v>418</v>
      </c>
      <c r="B15" s="258"/>
      <c r="C15" s="258"/>
      <c r="D15" s="258"/>
      <c r="E15" s="258"/>
      <c r="F15" s="258"/>
    </row>
    <row r="18" spans="1:7" s="125" customFormat="1"/>
    <row r="19" spans="1:7" ht="36.5" customHeight="1">
      <c r="A19" s="192" t="s">
        <v>390</v>
      </c>
    </row>
    <row r="20" spans="1:7">
      <c r="A20" s="142" t="s">
        <v>419</v>
      </c>
    </row>
    <row r="21" spans="1:7" ht="16">
      <c r="A21" s="184" t="s">
        <v>394</v>
      </c>
      <c r="B21" s="184" t="s">
        <v>395</v>
      </c>
    </row>
    <row r="22" spans="1:7" ht="16">
      <c r="A22" s="155" t="s">
        <v>420</v>
      </c>
      <c r="B22" s="180">
        <v>20599</v>
      </c>
    </row>
    <row r="23" spans="1:7" ht="16">
      <c r="A23" s="155" t="s">
        <v>421</v>
      </c>
      <c r="B23" s="180">
        <v>9858</v>
      </c>
    </row>
    <row r="24" spans="1:7" ht="16">
      <c r="A24" s="155" t="s">
        <v>408</v>
      </c>
      <c r="B24" s="180">
        <v>20097</v>
      </c>
    </row>
    <row r="25" spans="1:7" ht="16">
      <c r="A25" s="155" t="s">
        <v>409</v>
      </c>
      <c r="B25" s="180">
        <v>9356</v>
      </c>
    </row>
    <row r="26" spans="1:7" ht="16">
      <c r="A26" s="155" t="s">
        <v>422</v>
      </c>
      <c r="B26" s="155">
        <v>502</v>
      </c>
    </row>
    <row r="27" spans="1:7" ht="16">
      <c r="A27" s="155" t="s">
        <v>423</v>
      </c>
      <c r="B27" s="180">
        <v>10741</v>
      </c>
    </row>
    <row r="29" spans="1:7" ht="50" customHeight="1">
      <c r="A29" s="156" t="s">
        <v>424</v>
      </c>
      <c r="B29" s="156" t="s">
        <v>425</v>
      </c>
      <c r="C29" s="156" t="s">
        <v>426</v>
      </c>
    </row>
    <row r="30" spans="1:7" ht="50" customHeight="1">
      <c r="A30" s="193" t="s">
        <v>427</v>
      </c>
      <c r="B30" s="193" t="s">
        <v>428</v>
      </c>
      <c r="C30" s="193" t="s">
        <v>429</v>
      </c>
      <c r="F30" s="258" t="s">
        <v>451</v>
      </c>
      <c r="G30" s="258"/>
    </row>
    <row r="31" spans="1:7" ht="50" customHeight="1">
      <c r="A31" s="193" t="s">
        <v>430</v>
      </c>
      <c r="B31" s="193" t="s">
        <v>431</v>
      </c>
      <c r="C31" s="193" t="s">
        <v>432</v>
      </c>
      <c r="F31" s="258"/>
      <c r="G31" s="258"/>
    </row>
    <row r="32" spans="1:7" ht="50" customHeight="1">
      <c r="A32" s="193" t="s">
        <v>433</v>
      </c>
      <c r="B32" s="193" t="s">
        <v>434</v>
      </c>
      <c r="C32" s="193" t="s">
        <v>435</v>
      </c>
      <c r="F32" s="258"/>
      <c r="G32" s="258"/>
    </row>
    <row r="33" spans="1:7" ht="50" customHeight="1">
      <c r="A33" s="193" t="s">
        <v>436</v>
      </c>
      <c r="B33" s="193" t="s">
        <v>437</v>
      </c>
      <c r="C33" s="193" t="s">
        <v>438</v>
      </c>
      <c r="F33" s="258"/>
      <c r="G33" s="258"/>
    </row>
    <row r="34" spans="1:7" ht="50" customHeight="1">
      <c r="A34" s="193" t="s">
        <v>439</v>
      </c>
      <c r="B34" s="193" t="s">
        <v>440</v>
      </c>
      <c r="C34" s="193" t="s">
        <v>441</v>
      </c>
      <c r="F34" s="258"/>
      <c r="G34" s="258"/>
    </row>
    <row r="35" spans="1:7" ht="50" customHeight="1">
      <c r="A35" s="193" t="s">
        <v>442</v>
      </c>
      <c r="B35" s="193" t="s">
        <v>443</v>
      </c>
      <c r="C35" s="193" t="s">
        <v>444</v>
      </c>
      <c r="F35" s="258"/>
      <c r="G35" s="258"/>
    </row>
    <row r="36" spans="1:7" ht="50" customHeight="1">
      <c r="A36" s="193" t="s">
        <v>445</v>
      </c>
      <c r="B36" s="193" t="s">
        <v>446</v>
      </c>
      <c r="C36" s="193" t="s">
        <v>447</v>
      </c>
    </row>
    <row r="37" spans="1:7" ht="50" customHeight="1">
      <c r="A37" s="193" t="s">
        <v>448</v>
      </c>
      <c r="B37" s="193" t="s">
        <v>449</v>
      </c>
      <c r="C37" s="193" t="s">
        <v>450</v>
      </c>
    </row>
    <row r="39" spans="1:7" s="125" customFormat="1"/>
    <row r="40" spans="1:7" ht="37.25" customHeight="1">
      <c r="A40" s="191" t="s">
        <v>452</v>
      </c>
    </row>
    <row r="41" spans="1:7" ht="32">
      <c r="A41" s="194" t="s">
        <v>453</v>
      </c>
    </row>
    <row r="42" spans="1:7" ht="32">
      <c r="A42" s="194" t="s">
        <v>454</v>
      </c>
    </row>
    <row r="44" spans="1:7" ht="48">
      <c r="A44" s="156" t="s">
        <v>455</v>
      </c>
      <c r="B44" s="156" t="s">
        <v>481</v>
      </c>
      <c r="C44" s="156" t="s">
        <v>456</v>
      </c>
      <c r="D44" s="156" t="s">
        <v>482</v>
      </c>
      <c r="E44" s="156" t="s">
        <v>457</v>
      </c>
      <c r="F44" s="156" t="s">
        <v>458</v>
      </c>
    </row>
    <row r="45" spans="1:7" ht="57.5" customHeight="1">
      <c r="A45" s="155" t="s">
        <v>459</v>
      </c>
      <c r="B45" s="180">
        <v>2681</v>
      </c>
      <c r="C45" s="189">
        <v>0.27200000000000002</v>
      </c>
      <c r="D45" s="180">
        <v>1794</v>
      </c>
      <c r="E45" s="189">
        <v>8.6999999999999994E-2</v>
      </c>
      <c r="F45" s="155" t="s">
        <v>460</v>
      </c>
    </row>
    <row r="46" spans="1:7" ht="32">
      <c r="A46" s="155" t="s">
        <v>304</v>
      </c>
      <c r="B46" s="155">
        <v>869</v>
      </c>
      <c r="C46" s="189">
        <v>8.7999999999999995E-2</v>
      </c>
      <c r="D46" s="155">
        <v>460</v>
      </c>
      <c r="E46" s="189">
        <v>2.1999999999999999E-2</v>
      </c>
      <c r="F46" s="155" t="s">
        <v>461</v>
      </c>
    </row>
    <row r="47" spans="1:7" ht="43.25" customHeight="1">
      <c r="A47" s="155" t="s">
        <v>17</v>
      </c>
      <c r="B47" s="155">
        <v>502</v>
      </c>
      <c r="C47" s="189">
        <v>5.0999999999999997E-2</v>
      </c>
      <c r="D47" s="155">
        <v>502</v>
      </c>
      <c r="E47" s="189">
        <v>2.4E-2</v>
      </c>
      <c r="F47" s="155" t="s">
        <v>462</v>
      </c>
    </row>
    <row r="48" spans="1:7" ht="43.25" customHeight="1">
      <c r="A48" s="155" t="s">
        <v>463</v>
      </c>
      <c r="B48" s="155">
        <v>421</v>
      </c>
      <c r="C48" s="189">
        <v>4.2999999999999997E-2</v>
      </c>
      <c r="D48" s="155" t="s">
        <v>464</v>
      </c>
      <c r="E48" s="155" t="s">
        <v>464</v>
      </c>
      <c r="F48" s="155" t="s">
        <v>465</v>
      </c>
    </row>
    <row r="49" spans="1:6" ht="43.25" customHeight="1">
      <c r="A49" s="155" t="s">
        <v>301</v>
      </c>
      <c r="B49" s="155">
        <v>345</v>
      </c>
      <c r="C49" s="189">
        <v>3.5000000000000003E-2</v>
      </c>
      <c r="D49" s="155">
        <v>462</v>
      </c>
      <c r="E49" s="189">
        <v>2.1999999999999999E-2</v>
      </c>
      <c r="F49" s="155" t="s">
        <v>466</v>
      </c>
    </row>
    <row r="50" spans="1:6" ht="43.25" customHeight="1">
      <c r="A50" s="155" t="s">
        <v>303</v>
      </c>
      <c r="B50" s="155">
        <v>382</v>
      </c>
      <c r="C50" s="189">
        <v>3.9E-2</v>
      </c>
      <c r="D50" s="155">
        <v>335</v>
      </c>
      <c r="E50" s="189">
        <v>1.6E-2</v>
      </c>
      <c r="F50" s="155" t="s">
        <v>467</v>
      </c>
    </row>
    <row r="51" spans="1:6" ht="43.25" customHeight="1">
      <c r="A51" s="155" t="s">
        <v>468</v>
      </c>
      <c r="B51" s="155">
        <v>225</v>
      </c>
      <c r="C51" s="189">
        <v>2.3E-2</v>
      </c>
      <c r="D51" s="155">
        <v>293</v>
      </c>
      <c r="E51" s="189">
        <v>1.4E-2</v>
      </c>
      <c r="F51" s="155" t="s">
        <v>469</v>
      </c>
    </row>
    <row r="52" spans="1:6" ht="43.25" customHeight="1">
      <c r="A52" s="155" t="s">
        <v>470</v>
      </c>
      <c r="B52" s="155">
        <v>163</v>
      </c>
      <c r="C52" s="189">
        <v>1.7000000000000001E-2</v>
      </c>
      <c r="D52" s="155">
        <v>325</v>
      </c>
      <c r="E52" s="189">
        <v>1.6E-2</v>
      </c>
      <c r="F52" s="155" t="s">
        <v>471</v>
      </c>
    </row>
    <row r="53" spans="1:6" ht="32">
      <c r="A53" s="155" t="s">
        <v>472</v>
      </c>
      <c r="B53" s="155">
        <v>161</v>
      </c>
      <c r="C53" s="189">
        <v>1.6E-2</v>
      </c>
      <c r="D53" s="155">
        <v>229</v>
      </c>
      <c r="E53" s="189">
        <v>1.0999999999999999E-2</v>
      </c>
      <c r="F53" s="155" t="s">
        <v>473</v>
      </c>
    </row>
    <row r="54" spans="1:6" ht="32">
      <c r="A54" s="155" t="s">
        <v>302</v>
      </c>
      <c r="B54" s="155">
        <v>146</v>
      </c>
      <c r="C54" s="189">
        <v>1.4999999999999999E-2</v>
      </c>
      <c r="D54" s="155" t="s">
        <v>464</v>
      </c>
      <c r="E54" s="155" t="s">
        <v>464</v>
      </c>
      <c r="F54" s="155" t="s">
        <v>474</v>
      </c>
    </row>
    <row r="55" spans="1:6" ht="32">
      <c r="A55" s="155" t="s">
        <v>475</v>
      </c>
      <c r="B55" s="155" t="s">
        <v>464</v>
      </c>
      <c r="C55" s="155" t="s">
        <v>464</v>
      </c>
      <c r="D55" s="155">
        <v>343</v>
      </c>
      <c r="E55" s="189">
        <v>1.7000000000000001E-2</v>
      </c>
      <c r="F55" s="155" t="s">
        <v>476</v>
      </c>
    </row>
    <row r="56" spans="1:6" ht="32">
      <c r="A56" s="155" t="s">
        <v>477</v>
      </c>
      <c r="B56" s="155" t="s">
        <v>464</v>
      </c>
      <c r="C56" s="155" t="s">
        <v>464</v>
      </c>
      <c r="D56" s="155">
        <v>217</v>
      </c>
      <c r="E56" s="189">
        <v>1.0999999999999999E-2</v>
      </c>
      <c r="F56" s="155" t="s">
        <v>478</v>
      </c>
    </row>
    <row r="57" spans="1:6" ht="48">
      <c r="A57" s="155" t="s">
        <v>479</v>
      </c>
      <c r="B57" s="180">
        <v>3963</v>
      </c>
      <c r="C57" s="189">
        <v>0.40200000000000002</v>
      </c>
      <c r="D57" s="180">
        <v>15639</v>
      </c>
      <c r="E57" s="189">
        <v>0.75900000000000001</v>
      </c>
      <c r="F57" s="155" t="s">
        <v>480</v>
      </c>
    </row>
    <row r="59" spans="1:6" ht="42" customHeight="1">
      <c r="A59" s="188" t="s">
        <v>424</v>
      </c>
      <c r="B59" s="188" t="s">
        <v>483</v>
      </c>
    </row>
    <row r="60" spans="1:6" ht="48">
      <c r="A60" s="155" t="s">
        <v>484</v>
      </c>
      <c r="B60" s="155" t="s">
        <v>485</v>
      </c>
    </row>
    <row r="61" spans="1:6" ht="48">
      <c r="A61" s="155" t="s">
        <v>486</v>
      </c>
      <c r="B61" s="155" t="s">
        <v>487</v>
      </c>
    </row>
    <row r="62" spans="1:6" ht="48">
      <c r="A62" s="155" t="s">
        <v>488</v>
      </c>
      <c r="B62" s="155" t="s">
        <v>489</v>
      </c>
    </row>
    <row r="63" spans="1:6" ht="48">
      <c r="A63" s="155" t="s">
        <v>490</v>
      </c>
      <c r="B63" s="155" t="s">
        <v>491</v>
      </c>
    </row>
    <row r="64" spans="1:6" ht="48">
      <c r="A64" s="155" t="s">
        <v>492</v>
      </c>
      <c r="B64" s="155" t="s">
        <v>493</v>
      </c>
    </row>
    <row r="65" spans="1:4" ht="48">
      <c r="A65" s="155" t="s">
        <v>494</v>
      </c>
      <c r="B65" s="155" t="s">
        <v>495</v>
      </c>
    </row>
    <row r="66" spans="1:4" ht="48">
      <c r="A66" s="155" t="s">
        <v>496</v>
      </c>
      <c r="B66" s="155" t="s">
        <v>497</v>
      </c>
    </row>
    <row r="68" spans="1:4" s="125" customFormat="1"/>
    <row r="69" spans="1:4" ht="38" customHeight="1">
      <c r="A69" s="191" t="s">
        <v>498</v>
      </c>
      <c r="B69" s="195" t="s">
        <v>523</v>
      </c>
    </row>
    <row r="70" spans="1:4" ht="38" customHeight="1">
      <c r="A70" s="196" t="s">
        <v>524</v>
      </c>
      <c r="B70" s="197"/>
    </row>
    <row r="71" spans="1:4" ht="32">
      <c r="A71" s="156" t="s">
        <v>394</v>
      </c>
      <c r="B71" s="156" t="s">
        <v>499</v>
      </c>
      <c r="C71" s="156" t="s">
        <v>500</v>
      </c>
      <c r="D71" s="156" t="s">
        <v>458</v>
      </c>
    </row>
    <row r="72" spans="1:4" ht="32">
      <c r="A72" s="155" t="s">
        <v>501</v>
      </c>
      <c r="B72" s="180">
        <v>9858</v>
      </c>
      <c r="C72" s="180">
        <v>20599</v>
      </c>
      <c r="D72" s="155" t="s">
        <v>502</v>
      </c>
    </row>
    <row r="73" spans="1:4" ht="48">
      <c r="A73" s="155" t="s">
        <v>503</v>
      </c>
      <c r="B73" s="155" t="s">
        <v>504</v>
      </c>
      <c r="C73" s="155" t="s">
        <v>505</v>
      </c>
      <c r="D73" s="155" t="s">
        <v>506</v>
      </c>
    </row>
    <row r="74" spans="1:4" ht="32">
      <c r="A74" s="155" t="s">
        <v>507</v>
      </c>
      <c r="B74" s="155" t="s">
        <v>508</v>
      </c>
      <c r="C74" s="155" t="s">
        <v>509</v>
      </c>
      <c r="D74" s="155" t="s">
        <v>510</v>
      </c>
    </row>
    <row r="75" spans="1:4" ht="48">
      <c r="A75" s="155" t="s">
        <v>511</v>
      </c>
      <c r="B75" s="155" t="s">
        <v>512</v>
      </c>
      <c r="C75" s="155" t="s">
        <v>513</v>
      </c>
      <c r="D75" s="155" t="s">
        <v>514</v>
      </c>
    </row>
    <row r="76" spans="1:4" ht="32">
      <c r="A76" s="155" t="s">
        <v>515</v>
      </c>
      <c r="B76" s="155" t="s">
        <v>516</v>
      </c>
      <c r="C76" s="155" t="s">
        <v>517</v>
      </c>
      <c r="D76" s="155" t="s">
        <v>518</v>
      </c>
    </row>
    <row r="77" spans="1:4" ht="32">
      <c r="A77" s="155" t="s">
        <v>519</v>
      </c>
      <c r="B77" s="155" t="s">
        <v>520</v>
      </c>
      <c r="C77" s="155" t="s">
        <v>521</v>
      </c>
      <c r="D77" s="155" t="s">
        <v>522</v>
      </c>
    </row>
    <row r="79" spans="1:4" ht="16">
      <c r="A79" s="196" t="s">
        <v>525</v>
      </c>
    </row>
    <row r="80" spans="1:4" ht="16">
      <c r="A80" s="156" t="s">
        <v>526</v>
      </c>
      <c r="B80" s="156" t="s">
        <v>527</v>
      </c>
      <c r="C80" s="156" t="s">
        <v>528</v>
      </c>
      <c r="D80" s="156" t="s">
        <v>458</v>
      </c>
    </row>
    <row r="81" spans="1:6" ht="32">
      <c r="A81" s="155" t="s">
        <v>529</v>
      </c>
      <c r="B81" s="180">
        <v>1040</v>
      </c>
      <c r="C81" s="180">
        <v>1681</v>
      </c>
      <c r="D81" s="155" t="s">
        <v>530</v>
      </c>
    </row>
    <row r="82" spans="1:6" ht="32">
      <c r="A82" s="155" t="s">
        <v>531</v>
      </c>
      <c r="B82" s="180">
        <v>1248</v>
      </c>
      <c r="C82" s="180">
        <v>3205</v>
      </c>
      <c r="D82" s="155" t="s">
        <v>532</v>
      </c>
    </row>
    <row r="83" spans="1:6" ht="32">
      <c r="A83" s="155" t="s">
        <v>533</v>
      </c>
      <c r="B83" s="155">
        <v>591</v>
      </c>
      <c r="C83" s="180">
        <v>3356</v>
      </c>
      <c r="D83" s="155" t="s">
        <v>534</v>
      </c>
    </row>
    <row r="84" spans="1:6" ht="32">
      <c r="A84" s="155" t="s">
        <v>535</v>
      </c>
      <c r="B84" s="155">
        <v>521</v>
      </c>
      <c r="C84" s="180">
        <v>2618</v>
      </c>
      <c r="D84" s="155" t="s">
        <v>536</v>
      </c>
    </row>
    <row r="85" spans="1:6" ht="48">
      <c r="A85" s="155" t="s">
        <v>537</v>
      </c>
      <c r="B85" s="180">
        <v>1119</v>
      </c>
      <c r="C85" s="180">
        <v>2843</v>
      </c>
      <c r="D85" s="155" t="s">
        <v>538</v>
      </c>
    </row>
    <row r="86" spans="1:6" ht="32">
      <c r="A86" s="155" t="s">
        <v>539</v>
      </c>
      <c r="B86" s="180">
        <v>2662</v>
      </c>
      <c r="C86" s="180">
        <v>2771</v>
      </c>
      <c r="D86" s="155" t="s">
        <v>540</v>
      </c>
    </row>
    <row r="87" spans="1:6" ht="48">
      <c r="A87" s="155" t="s">
        <v>541</v>
      </c>
      <c r="B87" s="180">
        <v>1443</v>
      </c>
      <c r="C87" s="180">
        <v>1991</v>
      </c>
      <c r="D87" s="155" t="s">
        <v>542</v>
      </c>
    </row>
    <row r="88" spans="1:6" ht="48">
      <c r="A88" s="155" t="s">
        <v>543</v>
      </c>
      <c r="B88" s="180">
        <v>1234</v>
      </c>
      <c r="C88" s="180">
        <v>2134</v>
      </c>
      <c r="D88" s="155" t="s">
        <v>544</v>
      </c>
    </row>
    <row r="90" spans="1:6" ht="23" customHeight="1">
      <c r="A90" s="188" t="s">
        <v>424</v>
      </c>
      <c r="B90" s="188" t="s">
        <v>483</v>
      </c>
      <c r="C90" s="188" t="s">
        <v>426</v>
      </c>
    </row>
    <row r="91" spans="1:6" ht="32">
      <c r="A91" s="198" t="s">
        <v>545</v>
      </c>
      <c r="B91" s="198" t="s">
        <v>546</v>
      </c>
      <c r="C91" s="198" t="s">
        <v>547</v>
      </c>
      <c r="D91" s="258" t="s">
        <v>566</v>
      </c>
      <c r="E91" s="258"/>
      <c r="F91" s="258"/>
    </row>
    <row r="92" spans="1:6" ht="48">
      <c r="A92" s="198" t="s">
        <v>548</v>
      </c>
      <c r="B92" s="198" t="s">
        <v>549</v>
      </c>
      <c r="C92" s="198" t="s">
        <v>550</v>
      </c>
      <c r="D92" s="258"/>
      <c r="E92" s="258"/>
      <c r="F92" s="258"/>
    </row>
    <row r="93" spans="1:6" ht="32">
      <c r="A93" s="198" t="s">
        <v>551</v>
      </c>
      <c r="B93" s="198" t="s">
        <v>552</v>
      </c>
      <c r="C93" s="198" t="s">
        <v>553</v>
      </c>
      <c r="D93" s="258"/>
      <c r="E93" s="258"/>
      <c r="F93" s="258"/>
    </row>
    <row r="94" spans="1:6" ht="32">
      <c r="A94" s="198" t="s">
        <v>554</v>
      </c>
      <c r="B94" s="198" t="s">
        <v>555</v>
      </c>
      <c r="C94" s="198" t="s">
        <v>556</v>
      </c>
      <c r="D94" s="258"/>
      <c r="E94" s="258"/>
      <c r="F94" s="258"/>
    </row>
    <row r="95" spans="1:6" ht="48">
      <c r="A95" s="198" t="s">
        <v>557</v>
      </c>
      <c r="B95" s="198" t="s">
        <v>558</v>
      </c>
      <c r="C95" s="198" t="s">
        <v>559</v>
      </c>
      <c r="D95" s="258"/>
      <c r="E95" s="258"/>
      <c r="F95" s="258"/>
    </row>
    <row r="96" spans="1:6" ht="32">
      <c r="A96" s="198" t="s">
        <v>560</v>
      </c>
      <c r="B96" s="198" t="s">
        <v>561</v>
      </c>
      <c r="C96" s="198" t="s">
        <v>562</v>
      </c>
    </row>
    <row r="97" spans="1:3" ht="48">
      <c r="A97" s="198" t="s">
        <v>563</v>
      </c>
      <c r="B97" s="198" t="s">
        <v>564</v>
      </c>
      <c r="C97" s="198" t="s">
        <v>565</v>
      </c>
    </row>
  </sheetData>
  <mergeCells count="3">
    <mergeCell ref="A15:F15"/>
    <mergeCell ref="F30:G35"/>
    <mergeCell ref="D91:F9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FD7F-41B3-4DF8-9CA5-8C938B7A6797}">
  <sheetPr>
    <tabColor rgb="FFFFF4CC"/>
  </sheetPr>
  <dimension ref="A1:V17"/>
  <sheetViews>
    <sheetView zoomScale="85" zoomScaleNormal="85" workbookViewId="0">
      <selection activeCell="A18" sqref="A18"/>
    </sheetView>
  </sheetViews>
  <sheetFormatPr baseColWidth="10" defaultColWidth="8.83203125" defaultRowHeight="15"/>
  <cols>
    <col min="1" max="1" width="51.6640625" customWidth="1"/>
    <col min="2" max="2" width="13.5" customWidth="1"/>
    <col min="3" max="3" width="15.5" customWidth="1"/>
  </cols>
  <sheetData>
    <row r="1" spans="1:22" ht="44.5" customHeight="1">
      <c r="A1" s="166" t="s">
        <v>212</v>
      </c>
      <c r="B1" s="167" t="s">
        <v>213</v>
      </c>
      <c r="C1" s="168" t="s">
        <v>214</v>
      </c>
    </row>
    <row r="2" spans="1:22">
      <c r="A2" s="169" t="s">
        <v>209</v>
      </c>
      <c r="B2" s="170" t="s">
        <v>210</v>
      </c>
      <c r="C2" s="170"/>
      <c r="D2" s="170"/>
      <c r="E2" s="170"/>
      <c r="F2" s="170"/>
      <c r="G2" s="170"/>
      <c r="H2" s="170"/>
      <c r="I2" s="170"/>
      <c r="J2" s="170"/>
      <c r="K2" s="170"/>
      <c r="L2" s="170"/>
      <c r="M2" s="170"/>
      <c r="N2" s="170"/>
      <c r="O2" s="170"/>
      <c r="P2" s="170"/>
      <c r="Q2" s="170"/>
      <c r="R2" s="170"/>
      <c r="S2" s="170"/>
      <c r="T2" s="170"/>
      <c r="U2" s="170"/>
      <c r="V2" s="171"/>
    </row>
    <row r="3" spans="1:22">
      <c r="A3" s="172"/>
      <c r="V3" s="173"/>
    </row>
    <row r="4" spans="1:22">
      <c r="A4" s="152"/>
      <c r="B4" s="174">
        <v>2015</v>
      </c>
      <c r="C4" s="152">
        <v>2016</v>
      </c>
      <c r="D4" s="152">
        <v>2017</v>
      </c>
      <c r="E4" s="152">
        <v>2018</v>
      </c>
      <c r="F4" s="152">
        <v>2019</v>
      </c>
      <c r="G4" s="175">
        <v>2020</v>
      </c>
      <c r="H4" s="175">
        <v>2021</v>
      </c>
      <c r="I4" s="175">
        <v>2022</v>
      </c>
      <c r="J4" s="175">
        <v>2023</v>
      </c>
      <c r="K4" s="175">
        <v>2024</v>
      </c>
      <c r="L4" s="175">
        <v>2025</v>
      </c>
      <c r="M4" s="176">
        <v>2026</v>
      </c>
      <c r="N4" s="175">
        <v>2027</v>
      </c>
      <c r="O4" s="175">
        <v>2028</v>
      </c>
      <c r="P4" s="175">
        <v>2029</v>
      </c>
      <c r="Q4" s="175">
        <v>2030</v>
      </c>
      <c r="R4" s="175">
        <v>2031</v>
      </c>
      <c r="S4" s="175">
        <v>2032</v>
      </c>
      <c r="T4" s="175">
        <v>2033</v>
      </c>
      <c r="U4" s="175">
        <v>2034</v>
      </c>
      <c r="V4" s="176">
        <v>2035</v>
      </c>
    </row>
    <row r="5" spans="1:22">
      <c r="A5" s="177" t="s">
        <v>211</v>
      </c>
      <c r="B5" s="152">
        <v>10191.964</v>
      </c>
      <c r="C5" s="152">
        <v>10318.957</v>
      </c>
      <c r="D5" s="152">
        <v>10428.929</v>
      </c>
      <c r="E5" s="152">
        <v>10533.200999999999</v>
      </c>
      <c r="F5" s="152">
        <v>10644.091</v>
      </c>
      <c r="G5" s="152">
        <v>10732.888000000001</v>
      </c>
      <c r="H5" s="152">
        <v>10792.06</v>
      </c>
      <c r="I5" s="152">
        <v>10931.805</v>
      </c>
      <c r="J5" s="152">
        <v>11064.432000000001</v>
      </c>
      <c r="K5" s="152">
        <v>11180.878000000001</v>
      </c>
      <c r="L5" s="152">
        <v>11289.299000000001</v>
      </c>
      <c r="M5" s="152">
        <v>11397.896000000001</v>
      </c>
      <c r="N5" s="152">
        <v>11506.272000000001</v>
      </c>
      <c r="O5" s="152">
        <v>11614.181</v>
      </c>
      <c r="P5" s="152">
        <v>11722.145</v>
      </c>
      <c r="Q5" s="152">
        <v>11830.07</v>
      </c>
      <c r="R5" s="152">
        <v>11937.843000000001</v>
      </c>
      <c r="S5" s="152">
        <v>12044.127</v>
      </c>
      <c r="T5" s="152">
        <v>12150.572</v>
      </c>
      <c r="U5" s="152">
        <v>12256.511</v>
      </c>
      <c r="V5" s="152">
        <v>12361.835999999999</v>
      </c>
    </row>
    <row r="6" spans="1:22">
      <c r="A6" s="152"/>
      <c r="B6" s="152">
        <f>B5*1000</f>
        <v>10191964</v>
      </c>
      <c r="C6" s="152">
        <f t="shared" ref="C6:V6" si="0">C5*1000</f>
        <v>10318957</v>
      </c>
      <c r="D6" s="152">
        <f t="shared" si="0"/>
        <v>10428929</v>
      </c>
      <c r="E6" s="152">
        <f t="shared" si="0"/>
        <v>10533201</v>
      </c>
      <c r="F6" s="152">
        <f t="shared" si="0"/>
        <v>10644091</v>
      </c>
      <c r="G6" s="152">
        <f t="shared" si="0"/>
        <v>10732888</v>
      </c>
      <c r="H6" s="152">
        <f t="shared" si="0"/>
        <v>10792060</v>
      </c>
      <c r="I6" s="152">
        <f t="shared" si="0"/>
        <v>10931805</v>
      </c>
      <c r="J6" s="152">
        <f t="shared" si="0"/>
        <v>11064432</v>
      </c>
      <c r="K6" s="152">
        <f t="shared" si="0"/>
        <v>11180878</v>
      </c>
      <c r="L6" s="152">
        <f t="shared" si="0"/>
        <v>11289299</v>
      </c>
      <c r="M6" s="152">
        <f t="shared" si="0"/>
        <v>11397896</v>
      </c>
      <c r="N6" s="152">
        <f t="shared" si="0"/>
        <v>11506272</v>
      </c>
      <c r="O6" s="152">
        <f t="shared" si="0"/>
        <v>11614181</v>
      </c>
      <c r="P6" s="152">
        <f t="shared" si="0"/>
        <v>11722145</v>
      </c>
      <c r="Q6" s="152">
        <f t="shared" si="0"/>
        <v>11830070</v>
      </c>
      <c r="R6" s="152">
        <f t="shared" si="0"/>
        <v>11937843</v>
      </c>
      <c r="S6" s="152">
        <f t="shared" si="0"/>
        <v>12044127</v>
      </c>
      <c r="T6" s="152">
        <f t="shared" si="0"/>
        <v>12150572</v>
      </c>
      <c r="U6" s="152">
        <f t="shared" si="0"/>
        <v>12256511</v>
      </c>
      <c r="V6" s="152">
        <f t="shared" si="0"/>
        <v>12361836</v>
      </c>
    </row>
    <row r="7" spans="1:22">
      <c r="A7" s="152"/>
      <c r="B7" s="152"/>
      <c r="C7" s="152"/>
      <c r="D7" s="152"/>
      <c r="E7" s="152"/>
      <c r="F7" s="152"/>
      <c r="G7" s="152"/>
      <c r="H7" s="152"/>
      <c r="I7" s="152"/>
      <c r="J7" s="152"/>
      <c r="K7" s="152"/>
      <c r="L7" s="152"/>
      <c r="M7" s="152"/>
      <c r="N7" s="152"/>
      <c r="O7" s="152"/>
      <c r="P7" s="152"/>
      <c r="Q7" s="152"/>
      <c r="R7" s="152"/>
      <c r="S7" s="152"/>
      <c r="T7" s="152"/>
      <c r="U7" s="152"/>
      <c r="V7" s="152"/>
    </row>
    <row r="8" spans="1:22">
      <c r="A8" s="177" t="s">
        <v>216</v>
      </c>
      <c r="B8" s="152">
        <v>2015</v>
      </c>
      <c r="C8" s="152">
        <v>2016</v>
      </c>
      <c r="D8" s="152">
        <v>2017</v>
      </c>
      <c r="E8" s="152">
        <v>2018</v>
      </c>
      <c r="F8" s="152">
        <v>2019</v>
      </c>
      <c r="G8" s="152">
        <v>2020</v>
      </c>
      <c r="H8" s="152">
        <v>2021</v>
      </c>
      <c r="I8" s="152">
        <v>2022</v>
      </c>
      <c r="J8" s="152">
        <v>2023</v>
      </c>
      <c r="K8" s="152">
        <v>2024</v>
      </c>
      <c r="L8" s="152">
        <v>2025</v>
      </c>
      <c r="M8" s="152">
        <v>2026</v>
      </c>
      <c r="N8" s="152">
        <v>2027</v>
      </c>
      <c r="O8" s="152">
        <v>2028</v>
      </c>
      <c r="P8" s="152">
        <v>2029</v>
      </c>
      <c r="Q8" s="152">
        <v>2030</v>
      </c>
      <c r="R8" s="152">
        <v>2031</v>
      </c>
      <c r="S8" s="152">
        <v>2032</v>
      </c>
      <c r="T8" s="152">
        <v>2033</v>
      </c>
      <c r="U8" s="152">
        <v>2034</v>
      </c>
      <c r="V8" s="152">
        <v>2035</v>
      </c>
    </row>
    <row r="9" spans="1:22">
      <c r="A9" s="152"/>
      <c r="B9" s="152">
        <v>5706.3980000000001</v>
      </c>
      <c r="C9" s="152">
        <v>5811.7250000000004</v>
      </c>
      <c r="D9" s="152">
        <v>5900.4610000000002</v>
      </c>
      <c r="E9" s="152">
        <v>5975.8209999999999</v>
      </c>
      <c r="F9" s="152">
        <v>6053.973</v>
      </c>
      <c r="G9" s="152">
        <v>6121.0860000000002</v>
      </c>
      <c r="H9" s="152">
        <v>6160.57</v>
      </c>
      <c r="I9" s="152">
        <v>6253.07</v>
      </c>
      <c r="J9" s="152">
        <v>6336.0150000000003</v>
      </c>
      <c r="K9" s="152">
        <v>6411.1490000000003</v>
      </c>
      <c r="L9" s="152">
        <v>6490.7420000000002</v>
      </c>
      <c r="M9" s="152">
        <v>6570.63</v>
      </c>
      <c r="N9" s="152">
        <v>6650.5339999999997</v>
      </c>
      <c r="O9" s="152">
        <v>6730.2830000000004</v>
      </c>
      <c r="P9" s="152">
        <v>6810.2330000000002</v>
      </c>
      <c r="Q9" s="152">
        <v>6890.3180000000002</v>
      </c>
      <c r="R9" s="152">
        <v>6970.4570000000003</v>
      </c>
      <c r="S9" s="152">
        <v>7049.7359999999999</v>
      </c>
      <c r="T9" s="152">
        <v>7129.2659999999996</v>
      </c>
      <c r="U9" s="152">
        <v>7208.6059999999998</v>
      </c>
      <c r="V9" s="152">
        <v>7287.66</v>
      </c>
    </row>
    <row r="10" spans="1:22">
      <c r="A10" s="152"/>
      <c r="B10" s="152">
        <f>B9*1000</f>
        <v>5706398</v>
      </c>
      <c r="C10" s="152">
        <f t="shared" ref="C10:V10" si="1">C9*1000</f>
        <v>5811725</v>
      </c>
      <c r="D10" s="152">
        <f t="shared" si="1"/>
        <v>5900461</v>
      </c>
      <c r="E10" s="152">
        <f t="shared" si="1"/>
        <v>5975821</v>
      </c>
      <c r="F10" s="152">
        <f t="shared" si="1"/>
        <v>6053973</v>
      </c>
      <c r="G10" s="152">
        <f t="shared" si="1"/>
        <v>6121086</v>
      </c>
      <c r="H10" s="152">
        <f t="shared" si="1"/>
        <v>6160570</v>
      </c>
      <c r="I10" s="152">
        <f t="shared" si="1"/>
        <v>6253070</v>
      </c>
      <c r="J10" s="152">
        <f t="shared" si="1"/>
        <v>6336015</v>
      </c>
      <c r="K10" s="152">
        <f t="shared" si="1"/>
        <v>6411149</v>
      </c>
      <c r="L10" s="152">
        <f t="shared" si="1"/>
        <v>6490742</v>
      </c>
      <c r="M10" s="152">
        <f t="shared" si="1"/>
        <v>6570630</v>
      </c>
      <c r="N10" s="152">
        <f t="shared" si="1"/>
        <v>6650534</v>
      </c>
      <c r="O10" s="152">
        <f t="shared" si="1"/>
        <v>6730283</v>
      </c>
      <c r="P10" s="152">
        <f t="shared" si="1"/>
        <v>6810233</v>
      </c>
      <c r="Q10" s="152">
        <f t="shared" si="1"/>
        <v>6890318</v>
      </c>
      <c r="R10" s="152">
        <f t="shared" si="1"/>
        <v>6970457</v>
      </c>
      <c r="S10" s="152">
        <f t="shared" si="1"/>
        <v>7049736</v>
      </c>
      <c r="T10" s="152">
        <f t="shared" si="1"/>
        <v>7129266</v>
      </c>
      <c r="U10" s="152">
        <f t="shared" si="1"/>
        <v>7208606</v>
      </c>
      <c r="V10" s="152">
        <f t="shared" si="1"/>
        <v>7287660</v>
      </c>
    </row>
    <row r="11" spans="1:22">
      <c r="A11" s="152"/>
      <c r="B11" s="152"/>
      <c r="C11" s="152"/>
      <c r="D11" s="152"/>
      <c r="E11" s="152"/>
      <c r="F11" s="152"/>
      <c r="G11" s="152"/>
      <c r="H11" s="152"/>
      <c r="I11" s="152"/>
      <c r="J11" s="152"/>
      <c r="K11" s="152"/>
      <c r="L11" s="152"/>
      <c r="M11" s="152"/>
      <c r="N11" s="152"/>
      <c r="O11" s="152"/>
      <c r="P11" s="152"/>
      <c r="Q11" s="152"/>
      <c r="R11" s="152"/>
      <c r="S11" s="152"/>
      <c r="T11" s="152"/>
      <c r="U11" s="152"/>
      <c r="V11" s="152"/>
    </row>
    <row r="12" spans="1:22">
      <c r="A12" s="177" t="s">
        <v>217</v>
      </c>
      <c r="B12" s="152">
        <v>2015</v>
      </c>
      <c r="C12" s="152">
        <v>2016</v>
      </c>
      <c r="D12" s="152">
        <v>2017</v>
      </c>
      <c r="E12" s="152">
        <v>2018</v>
      </c>
      <c r="F12" s="152">
        <v>2019</v>
      </c>
      <c r="G12" s="152">
        <v>2020</v>
      </c>
      <c r="H12" s="152">
        <v>2021</v>
      </c>
      <c r="I12" s="152">
        <v>2022</v>
      </c>
      <c r="J12" s="152">
        <v>2023</v>
      </c>
      <c r="K12" s="152">
        <v>2024</v>
      </c>
      <c r="L12" s="152">
        <v>2025</v>
      </c>
      <c r="M12" s="152">
        <v>2026</v>
      </c>
      <c r="N12" s="152">
        <v>2027</v>
      </c>
      <c r="O12" s="152">
        <v>2028</v>
      </c>
      <c r="P12" s="152">
        <v>2029</v>
      </c>
      <c r="Q12" s="152">
        <v>2030</v>
      </c>
      <c r="R12" s="152">
        <v>2031</v>
      </c>
      <c r="S12" s="152">
        <v>2032</v>
      </c>
      <c r="T12" s="152">
        <v>2033</v>
      </c>
      <c r="U12" s="152">
        <v>2034</v>
      </c>
      <c r="V12" s="152">
        <v>2035</v>
      </c>
    </row>
    <row r="13" spans="1:22">
      <c r="A13" s="152"/>
      <c r="B13" s="152">
        <v>735.38400000000001</v>
      </c>
      <c r="C13" s="152">
        <v>748.22199999999998</v>
      </c>
      <c r="D13" s="152">
        <v>753.03</v>
      </c>
      <c r="E13" s="152">
        <v>756.97</v>
      </c>
      <c r="F13" s="152">
        <v>761.62599999999998</v>
      </c>
      <c r="G13" s="152">
        <v>764.63</v>
      </c>
      <c r="H13" s="152">
        <v>759.33299999999997</v>
      </c>
      <c r="I13" s="152">
        <v>764.44</v>
      </c>
      <c r="J13" s="152">
        <v>768.04700000000003</v>
      </c>
      <c r="K13" s="152">
        <v>770.30700000000002</v>
      </c>
      <c r="L13" s="152">
        <v>774.375</v>
      </c>
      <c r="M13" s="152">
        <v>778.34799999999996</v>
      </c>
      <c r="N13" s="152">
        <v>782.19</v>
      </c>
      <c r="O13" s="152">
        <v>785.88</v>
      </c>
      <c r="P13" s="152">
        <v>789.46400000000006</v>
      </c>
      <c r="Q13" s="152">
        <v>792.93600000000004</v>
      </c>
      <c r="R13" s="152">
        <v>796.28300000000002</v>
      </c>
      <c r="S13" s="152">
        <v>799.399</v>
      </c>
      <c r="T13" s="152">
        <v>802.41899999999998</v>
      </c>
      <c r="U13" s="152">
        <v>805.29</v>
      </c>
      <c r="V13" s="152">
        <v>808.00199999999995</v>
      </c>
    </row>
    <row r="14" spans="1:22">
      <c r="A14" s="152"/>
      <c r="B14" s="152">
        <f>B13*1000</f>
        <v>735384</v>
      </c>
      <c r="C14" s="152">
        <f t="shared" ref="C14:Q14" si="2">C13*1000</f>
        <v>748222</v>
      </c>
      <c r="D14" s="152">
        <f t="shared" si="2"/>
        <v>753030</v>
      </c>
      <c r="E14" s="152">
        <f t="shared" si="2"/>
        <v>756970</v>
      </c>
      <c r="F14" s="152">
        <f t="shared" si="2"/>
        <v>761626</v>
      </c>
      <c r="G14" s="152">
        <f t="shared" si="2"/>
        <v>764630</v>
      </c>
      <c r="H14" s="152">
        <f t="shared" si="2"/>
        <v>759333</v>
      </c>
      <c r="I14" s="152">
        <f t="shared" si="2"/>
        <v>764440</v>
      </c>
      <c r="J14" s="152">
        <f t="shared" si="2"/>
        <v>768047</v>
      </c>
      <c r="K14" s="152">
        <f t="shared" si="2"/>
        <v>770307</v>
      </c>
      <c r="L14" s="152">
        <f t="shared" si="2"/>
        <v>774375</v>
      </c>
      <c r="M14" s="152">
        <f t="shared" si="2"/>
        <v>778348</v>
      </c>
      <c r="N14" s="152">
        <f t="shared" si="2"/>
        <v>782190</v>
      </c>
      <c r="O14" s="152">
        <f t="shared" si="2"/>
        <v>785880</v>
      </c>
      <c r="P14" s="152">
        <f t="shared" si="2"/>
        <v>789464</v>
      </c>
      <c r="Q14" s="152">
        <f t="shared" si="2"/>
        <v>792936</v>
      </c>
      <c r="R14" s="152">
        <f>R13*1000</f>
        <v>796283</v>
      </c>
      <c r="S14" s="152">
        <f t="shared" ref="S14" si="3">S13*1000</f>
        <v>799399</v>
      </c>
      <c r="T14" s="152">
        <f t="shared" ref="T14" si="4">T13*1000</f>
        <v>802419</v>
      </c>
      <c r="U14" s="152">
        <f t="shared" ref="U14" si="5">U13*1000</f>
        <v>805290</v>
      </c>
      <c r="V14" s="152">
        <f t="shared" ref="V14" si="6">V13*1000</f>
        <v>808002</v>
      </c>
    </row>
    <row r="17" spans="1:1">
      <c r="A17" t="s">
        <v>567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F9A2-0DFA-44D2-8726-4181CBE23E50}">
  <sheetPr>
    <tabColor theme="2" tint="-9.9978637043366805E-2"/>
  </sheetPr>
  <dimension ref="A1"/>
  <sheetViews>
    <sheetView workbookViewId="0"/>
  </sheetViews>
  <sheetFormatPr baseColWidth="10" defaultColWidth="8.83203125"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1F13-FD31-4E73-8278-5EC90FE1BCAB}">
  <dimension ref="A1:XFD113"/>
  <sheetViews>
    <sheetView tabSelected="1" workbookViewId="0">
      <selection activeCell="B23" sqref="B23"/>
    </sheetView>
  </sheetViews>
  <sheetFormatPr baseColWidth="10" defaultColWidth="9.1640625" defaultRowHeight="15"/>
  <cols>
    <col min="1" max="1" width="42.5" style="4" bestFit="1" customWidth="1"/>
    <col min="2" max="2" width="34.83203125" style="4" bestFit="1" customWidth="1"/>
    <col min="3" max="4" width="17.6640625" style="4" bestFit="1" customWidth="1"/>
    <col min="5" max="6" width="11" style="4" bestFit="1" customWidth="1"/>
    <col min="7" max="7" width="16" style="4" bestFit="1" customWidth="1"/>
    <col min="8" max="9" width="16.83203125" style="4" bestFit="1" customWidth="1"/>
    <col min="10" max="10" width="12.6640625" style="4" bestFit="1" customWidth="1"/>
    <col min="11" max="11" width="10" style="4" bestFit="1" customWidth="1"/>
    <col min="12" max="14" width="10.5" style="4" bestFit="1" customWidth="1"/>
    <col min="15" max="23" width="10" style="4" bestFit="1" customWidth="1"/>
    <col min="24" max="26" width="10.5" style="4" bestFit="1" customWidth="1"/>
    <col min="27" max="35" width="10" style="4" bestFit="1" customWidth="1"/>
    <col min="36" max="38" width="10.5" style="4" bestFit="1" customWidth="1"/>
    <col min="39" max="47" width="10" style="4" bestFit="1" customWidth="1"/>
    <col min="48" max="50" width="10.5" style="4" bestFit="1" customWidth="1"/>
    <col min="51" max="59" width="10" style="4" bestFit="1" customWidth="1"/>
    <col min="60" max="62" width="10.5" style="4" bestFit="1" customWidth="1"/>
    <col min="63" max="71" width="10" style="4" bestFit="1" customWidth="1"/>
    <col min="72" max="74" width="10.5" style="4" bestFit="1" customWidth="1"/>
    <col min="75" max="83" width="10" style="4" bestFit="1" customWidth="1"/>
    <col min="84" max="86" width="10.5" style="4" bestFit="1" customWidth="1"/>
    <col min="87" max="95" width="10" style="4" bestFit="1" customWidth="1"/>
    <col min="96" max="98" width="10.5" style="4" bestFit="1" customWidth="1"/>
    <col min="99" max="107" width="10" style="4" bestFit="1" customWidth="1"/>
    <col min="108" max="110" width="10.5" style="4" bestFit="1" customWidth="1"/>
    <col min="111" max="119" width="10" style="4" bestFit="1" customWidth="1"/>
    <col min="120" max="122" width="10.5" style="4" bestFit="1" customWidth="1"/>
    <col min="123" max="131" width="10" style="4" bestFit="1" customWidth="1"/>
    <col min="132" max="134" width="10.5" style="4" bestFit="1" customWidth="1"/>
    <col min="135" max="138" width="10" style="4" bestFit="1" customWidth="1"/>
    <col min="139" max="16384" width="9.1640625" style="4"/>
  </cols>
  <sheetData>
    <row r="1" spans="1:8" ht="16" thickBot="1"/>
    <row r="2" spans="1:8" ht="30" customHeight="1">
      <c r="A2" s="263" t="s">
        <v>30</v>
      </c>
      <c r="B2" s="50" t="s">
        <v>20</v>
      </c>
      <c r="C2" s="275" t="s">
        <v>24</v>
      </c>
      <c r="D2" s="275"/>
      <c r="E2" s="275" t="s">
        <v>17</v>
      </c>
      <c r="F2" s="275"/>
      <c r="G2" s="275" t="s">
        <v>25</v>
      </c>
      <c r="H2" s="276"/>
    </row>
    <row r="3" spans="1:8">
      <c r="A3" s="264"/>
      <c r="B3" s="4" t="s">
        <v>23</v>
      </c>
      <c r="C3" s="46">
        <v>287239</v>
      </c>
      <c r="D3" s="4" t="s">
        <v>20</v>
      </c>
      <c r="E3" s="46">
        <v>12423</v>
      </c>
      <c r="F3" s="4" t="s">
        <v>20</v>
      </c>
      <c r="G3" s="46">
        <v>2313055</v>
      </c>
      <c r="H3" s="33" t="s">
        <v>20</v>
      </c>
    </row>
    <row r="4" spans="1:8">
      <c r="A4" s="264"/>
      <c r="B4" s="4" t="s">
        <v>21</v>
      </c>
      <c r="C4" s="46">
        <v>168868</v>
      </c>
      <c r="D4" s="53">
        <f>C4/C3</f>
        <v>0.5879006680847656</v>
      </c>
      <c r="E4" s="46">
        <v>4928</v>
      </c>
      <c r="F4" s="88">
        <f>E4/E3</f>
        <v>0.396683570796104</v>
      </c>
      <c r="G4" s="46">
        <v>1529469</v>
      </c>
      <c r="H4" s="54">
        <f>G4/G3</f>
        <v>0.66123330400703828</v>
      </c>
    </row>
    <row r="5" spans="1:8">
      <c r="A5" s="264"/>
      <c r="B5" s="4" t="s">
        <v>22</v>
      </c>
      <c r="C5" s="46">
        <v>118371</v>
      </c>
      <c r="D5" s="53">
        <f>C5/C3</f>
        <v>0.41209933191523435</v>
      </c>
      <c r="E5" s="46">
        <v>7495</v>
      </c>
      <c r="F5" s="88">
        <f>E5/E3</f>
        <v>0.60331642920389605</v>
      </c>
      <c r="G5" s="46">
        <v>783586</v>
      </c>
      <c r="H5" s="54">
        <f>G5/G3</f>
        <v>0.33876669599296166</v>
      </c>
    </row>
    <row r="6" spans="1:8" ht="16" thickBot="1">
      <c r="A6" s="265"/>
      <c r="B6" s="55"/>
      <c r="C6" s="55"/>
      <c r="D6" s="55"/>
      <c r="E6" s="55"/>
      <c r="F6" s="55"/>
      <c r="G6" s="55"/>
      <c r="H6" s="56"/>
    </row>
    <row r="7" spans="1:8" ht="16" thickBot="1">
      <c r="A7" s="49"/>
      <c r="B7"/>
      <c r="C7" s="32"/>
      <c r="D7"/>
      <c r="E7" s="32"/>
      <c r="F7"/>
      <c r="G7" s="32"/>
      <c r="H7" t="s">
        <v>20</v>
      </c>
    </row>
    <row r="8" spans="1:8">
      <c r="A8" s="263" t="s">
        <v>30</v>
      </c>
      <c r="B8" s="57" t="s">
        <v>26</v>
      </c>
      <c r="C8" s="58">
        <v>97793</v>
      </c>
      <c r="D8" s="59">
        <v>0.34045864245454133</v>
      </c>
      <c r="E8" s="58">
        <v>4781</v>
      </c>
      <c r="F8" s="59">
        <v>0.38485068018997021</v>
      </c>
      <c r="G8" s="58">
        <v>626616</v>
      </c>
      <c r="H8" s="60">
        <v>0.27090406410569573</v>
      </c>
    </row>
    <row r="9" spans="1:8">
      <c r="A9" s="264"/>
      <c r="B9" t="s">
        <v>27</v>
      </c>
      <c r="C9" s="32">
        <v>92034</v>
      </c>
      <c r="D9" s="48">
        <v>0.3204091366423083</v>
      </c>
      <c r="E9" s="32">
        <v>4207</v>
      </c>
      <c r="F9" s="48">
        <v>0.338646059727924</v>
      </c>
      <c r="G9" s="32">
        <v>748482</v>
      </c>
      <c r="H9" s="61">
        <v>0.32359023023663508</v>
      </c>
    </row>
    <row r="10" spans="1:8">
      <c r="A10" s="264"/>
      <c r="B10" t="s">
        <v>28</v>
      </c>
      <c r="C10" s="32">
        <v>45114</v>
      </c>
      <c r="D10" s="48">
        <v>0.15706084480171564</v>
      </c>
      <c r="E10" s="32">
        <v>1549</v>
      </c>
      <c r="F10" s="48">
        <v>0.12468807856395396</v>
      </c>
      <c r="G10" s="32">
        <v>391502</v>
      </c>
      <c r="H10" s="61">
        <v>0.16925754035247756</v>
      </c>
    </row>
    <row r="11" spans="1:8">
      <c r="A11" s="264"/>
      <c r="B11" t="s">
        <v>29</v>
      </c>
      <c r="C11" s="32">
        <v>28887</v>
      </c>
      <c r="D11" s="48">
        <v>0.10056781982947997</v>
      </c>
      <c r="E11" s="32">
        <v>992</v>
      </c>
      <c r="F11" s="48">
        <v>7.9851887627787166E-2</v>
      </c>
      <c r="G11" s="32">
        <v>313627</v>
      </c>
      <c r="H11" s="61">
        <v>0.13558994489971055</v>
      </c>
    </row>
    <row r="12" spans="1:8" ht="16" thickBot="1">
      <c r="A12" s="265"/>
      <c r="B12" s="34" t="s">
        <v>31</v>
      </c>
      <c r="C12" s="35">
        <v>23411</v>
      </c>
      <c r="D12" s="62">
        <v>8.1503556271954714E-2</v>
      </c>
      <c r="E12" s="35">
        <v>894</v>
      </c>
      <c r="F12" s="62">
        <v>7.1963293890364641E-2</v>
      </c>
      <c r="G12" s="35">
        <v>232828</v>
      </c>
      <c r="H12" s="63">
        <v>0.10065822040548107</v>
      </c>
    </row>
    <row r="13" spans="1:8">
      <c r="A13" s="47"/>
      <c r="B13"/>
      <c r="C13" s="64">
        <f t="shared" ref="C13:H13" si="0">SUM(C8:C12)</f>
        <v>287239</v>
      </c>
      <c r="D13" s="65">
        <f t="shared" si="0"/>
        <v>0.99999999999999989</v>
      </c>
      <c r="E13" s="64">
        <f t="shared" si="0"/>
        <v>12423</v>
      </c>
      <c r="F13" s="65">
        <f t="shared" si="0"/>
        <v>0.99999999999999989</v>
      </c>
      <c r="G13" s="64">
        <f t="shared" si="0"/>
        <v>2313055</v>
      </c>
      <c r="H13" s="65">
        <f t="shared" si="0"/>
        <v>1</v>
      </c>
    </row>
    <row r="14" spans="1:8">
      <c r="A14" s="47"/>
      <c r="B14" s="43" t="s">
        <v>32</v>
      </c>
      <c r="C14" s="72">
        <f>SUM(C8:C9)</f>
        <v>189827</v>
      </c>
      <c r="D14" s="73">
        <f t="shared" ref="D14:H14" si="1">SUM(D8:D9)</f>
        <v>0.66086777909684957</v>
      </c>
      <c r="E14" s="72">
        <f t="shared" si="1"/>
        <v>8988</v>
      </c>
      <c r="F14" s="73">
        <f t="shared" si="1"/>
        <v>0.7234967399178942</v>
      </c>
      <c r="G14" s="72">
        <f t="shared" si="1"/>
        <v>1375098</v>
      </c>
      <c r="H14" s="73">
        <f t="shared" si="1"/>
        <v>0.59449429434233081</v>
      </c>
    </row>
    <row r="15" spans="1:8" ht="16" thickBot="1">
      <c r="A15" s="47"/>
      <c r="B15"/>
      <c r="C15" s="81"/>
      <c r="D15" s="82"/>
      <c r="E15" s="81"/>
      <c r="F15" s="82"/>
      <c r="G15" s="81"/>
      <c r="H15" s="82"/>
    </row>
    <row r="16" spans="1:8" ht="16">
      <c r="A16" s="272" t="s">
        <v>44</v>
      </c>
      <c r="B16" s="57" t="s">
        <v>42</v>
      </c>
      <c r="C16" s="51" t="s">
        <v>17</v>
      </c>
      <c r="D16" s="52"/>
      <c r="F16" s="45"/>
      <c r="G16" s="271"/>
      <c r="H16" s="271"/>
    </row>
    <row r="17" spans="1:8">
      <c r="A17" s="273"/>
      <c r="B17" s="83">
        <v>2015</v>
      </c>
      <c r="C17" s="84">
        <v>210700</v>
      </c>
      <c r="D17" s="33"/>
      <c r="F17" s="82"/>
      <c r="G17" s="81"/>
      <c r="H17" s="82"/>
    </row>
    <row r="18" spans="1:8">
      <c r="A18" s="273"/>
      <c r="B18" s="83">
        <v>2019</v>
      </c>
      <c r="C18" s="84">
        <v>283300</v>
      </c>
      <c r="D18" s="85"/>
      <c r="F18" s="82"/>
      <c r="G18" s="81"/>
      <c r="H18" s="82"/>
    </row>
    <row r="19" spans="1:8">
      <c r="A19" s="273"/>
      <c r="B19" s="83">
        <v>2024</v>
      </c>
      <c r="C19" s="84">
        <v>432800</v>
      </c>
      <c r="D19" s="85"/>
      <c r="F19" s="82"/>
      <c r="G19" s="81"/>
      <c r="H19" s="82"/>
    </row>
    <row r="20" spans="1:8" ht="16" thickBot="1">
      <c r="A20" s="274"/>
      <c r="B20" s="34" t="s">
        <v>43</v>
      </c>
      <c r="C20" s="87">
        <f>C19-C17</f>
        <v>222100</v>
      </c>
      <c r="D20" s="86">
        <f>(C19-C17)/C17</f>
        <v>1.0541053630754627</v>
      </c>
      <c r="E20" s="81"/>
      <c r="F20" s="82"/>
      <c r="G20" s="81"/>
      <c r="H20" s="82"/>
    </row>
    <row r="21" spans="1:8">
      <c r="A21" s="47"/>
      <c r="B21"/>
      <c r="C21" s="81"/>
      <c r="D21" s="82"/>
      <c r="E21" s="81"/>
      <c r="F21" s="82"/>
      <c r="G21" s="81"/>
      <c r="H21" s="82"/>
    </row>
    <row r="22" spans="1:8">
      <c r="A22" s="47"/>
      <c r="B22"/>
      <c r="C22" s="81"/>
      <c r="D22" s="82"/>
      <c r="E22" s="81"/>
      <c r="F22" s="82"/>
      <c r="G22" s="81"/>
      <c r="H22" s="82"/>
    </row>
    <row r="23" spans="1:8">
      <c r="A23" s="47"/>
      <c r="B23"/>
      <c r="C23" s="81"/>
      <c r="D23" s="82"/>
      <c r="E23" s="81"/>
      <c r="F23" s="82"/>
      <c r="G23" s="81"/>
      <c r="H23" s="82"/>
    </row>
    <row r="24" spans="1:8">
      <c r="A24" s="47"/>
      <c r="B24" s="14"/>
    </row>
    <row r="25" spans="1:8" ht="16" thickBot="1">
      <c r="A25" s="47"/>
      <c r="B25" s="14"/>
    </row>
    <row r="26" spans="1:8">
      <c r="A26" s="263" t="s">
        <v>8</v>
      </c>
      <c r="B26" s="277" t="s">
        <v>9</v>
      </c>
      <c r="C26" s="277"/>
      <c r="D26" s="277"/>
      <c r="E26" s="277"/>
      <c r="F26" s="278"/>
    </row>
    <row r="27" spans="1:8" ht="16" thickBot="1">
      <c r="A27" s="264"/>
      <c r="C27" s="19">
        <v>0.5</v>
      </c>
      <c r="D27" s="19">
        <v>0.8</v>
      </c>
      <c r="E27" s="19">
        <v>1</v>
      </c>
      <c r="F27" s="74">
        <v>1.2</v>
      </c>
    </row>
    <row r="28" spans="1:8" ht="17">
      <c r="A28" s="264"/>
      <c r="B28" s="1" t="s">
        <v>0</v>
      </c>
      <c r="C28" s="21">
        <v>41250</v>
      </c>
      <c r="D28" s="5">
        <f>E28*0.8</f>
        <v>66000</v>
      </c>
      <c r="E28" s="6">
        <f>C28*2</f>
        <v>82500</v>
      </c>
      <c r="F28" s="7">
        <f>E28*1.2</f>
        <v>99000</v>
      </c>
    </row>
    <row r="29" spans="1:8" ht="17">
      <c r="A29" s="264"/>
      <c r="B29" s="2" t="s">
        <v>1</v>
      </c>
      <c r="C29" s="20">
        <v>47150</v>
      </c>
      <c r="D29" s="8">
        <v>75400</v>
      </c>
      <c r="E29" s="9">
        <f t="shared" ref="E29:E35" si="2">C29*2</f>
        <v>94300</v>
      </c>
      <c r="F29" s="10">
        <f t="shared" ref="F29:F35" si="3">E29*1.2</f>
        <v>113160</v>
      </c>
    </row>
    <row r="30" spans="1:8" ht="17">
      <c r="A30" s="264"/>
      <c r="B30" s="2" t="s">
        <v>2</v>
      </c>
      <c r="C30" s="20">
        <v>53050</v>
      </c>
      <c r="D30" s="8">
        <v>84850</v>
      </c>
      <c r="E30" s="9">
        <f t="shared" si="2"/>
        <v>106100</v>
      </c>
      <c r="F30" s="10">
        <f t="shared" si="3"/>
        <v>127320</v>
      </c>
    </row>
    <row r="31" spans="1:8" ht="18" thickBot="1">
      <c r="A31" s="264"/>
      <c r="B31" s="3" t="s">
        <v>3</v>
      </c>
      <c r="C31" s="22">
        <v>58900</v>
      </c>
      <c r="D31" s="11">
        <v>94250</v>
      </c>
      <c r="E31" s="12">
        <f t="shared" si="2"/>
        <v>117800</v>
      </c>
      <c r="F31" s="13">
        <f t="shared" si="3"/>
        <v>141360</v>
      </c>
    </row>
    <row r="32" spans="1:8">
      <c r="A32" s="264"/>
      <c r="B32" s="15" t="s">
        <v>4</v>
      </c>
      <c r="C32" s="18">
        <v>63650</v>
      </c>
      <c r="D32" s="16">
        <v>101800</v>
      </c>
      <c r="E32" s="17">
        <f t="shared" si="2"/>
        <v>127300</v>
      </c>
      <c r="F32" s="75">
        <f t="shared" si="3"/>
        <v>152760</v>
      </c>
    </row>
    <row r="33" spans="1:8">
      <c r="A33" s="264"/>
      <c r="B33" s="15" t="s">
        <v>5</v>
      </c>
      <c r="C33" s="18">
        <v>68350</v>
      </c>
      <c r="D33" s="16">
        <v>109350</v>
      </c>
      <c r="E33" s="17">
        <f t="shared" si="2"/>
        <v>136700</v>
      </c>
      <c r="F33" s="75">
        <f t="shared" si="3"/>
        <v>164040</v>
      </c>
    </row>
    <row r="34" spans="1:8">
      <c r="A34" s="264"/>
      <c r="B34" s="15" t="s">
        <v>6</v>
      </c>
      <c r="C34" s="18">
        <v>73050</v>
      </c>
      <c r="D34" s="16">
        <v>116900</v>
      </c>
      <c r="E34" s="17">
        <f t="shared" si="2"/>
        <v>146100</v>
      </c>
      <c r="F34" s="75">
        <f t="shared" si="3"/>
        <v>175320</v>
      </c>
    </row>
    <row r="35" spans="1:8" ht="16" thickBot="1">
      <c r="A35" s="265"/>
      <c r="B35" s="76" t="s">
        <v>7</v>
      </c>
      <c r="C35" s="77">
        <v>77750</v>
      </c>
      <c r="D35" s="78">
        <v>124450</v>
      </c>
      <c r="E35" s="79">
        <f t="shared" si="2"/>
        <v>155500</v>
      </c>
      <c r="F35" s="80">
        <f t="shared" si="3"/>
        <v>186600</v>
      </c>
    </row>
    <row r="36" spans="1:8" ht="16" thickBot="1"/>
    <row r="37" spans="1:8">
      <c r="A37" s="26"/>
      <c r="B37" s="266" t="s">
        <v>17</v>
      </c>
      <c r="C37" s="266"/>
      <c r="D37" s="266"/>
      <c r="E37" s="267"/>
    </row>
    <row r="38" spans="1:8" ht="48">
      <c r="A38" s="264" t="s">
        <v>14</v>
      </c>
      <c r="B38" s="262" t="s">
        <v>13</v>
      </c>
      <c r="C38" s="262"/>
      <c r="D38" s="262"/>
      <c r="E38" s="279"/>
      <c r="G38" s="37" t="s">
        <v>18</v>
      </c>
      <c r="H38" s="37" t="s">
        <v>19</v>
      </c>
    </row>
    <row r="39" spans="1:8">
      <c r="A39" s="264"/>
      <c r="B39" t="s">
        <v>16</v>
      </c>
      <c r="C39" s="27" t="s">
        <v>10</v>
      </c>
      <c r="D39" s="27" t="s">
        <v>11</v>
      </c>
      <c r="E39" s="28" t="s">
        <v>12</v>
      </c>
      <c r="G39" s="14"/>
    </row>
    <row r="40" spans="1:8">
      <c r="A40" s="264"/>
      <c r="B40" t="s">
        <v>45</v>
      </c>
      <c r="C40">
        <v>915</v>
      </c>
      <c r="D40">
        <v>905</v>
      </c>
      <c r="E40" s="29">
        <v>1425</v>
      </c>
      <c r="F40" s="24"/>
      <c r="G40" s="38">
        <f>C40/$E40</f>
        <v>0.64210526315789473</v>
      </c>
      <c r="H40" s="38">
        <f>D40/$E40</f>
        <v>0.63508771929824559</v>
      </c>
    </row>
    <row r="41" spans="1:8">
      <c r="A41" s="264"/>
      <c r="B41" t="s">
        <v>46</v>
      </c>
      <c r="C41">
        <v>970</v>
      </c>
      <c r="D41">
        <v>630</v>
      </c>
      <c r="E41" s="29">
        <v>1120</v>
      </c>
      <c r="F41" s="24"/>
      <c r="G41" s="38">
        <f t="shared" ref="G41:H44" si="4">C41/$E41</f>
        <v>0.8660714285714286</v>
      </c>
      <c r="H41" s="38">
        <f t="shared" si="4"/>
        <v>0.5625</v>
      </c>
    </row>
    <row r="42" spans="1:8" ht="16" thickBot="1">
      <c r="A42" s="264"/>
      <c r="B42" t="s">
        <v>47</v>
      </c>
      <c r="C42">
        <v>950</v>
      </c>
      <c r="D42">
        <v>145</v>
      </c>
      <c r="E42" s="29">
        <v>1240</v>
      </c>
      <c r="F42" s="24"/>
      <c r="G42" s="38">
        <f t="shared" si="4"/>
        <v>0.7661290322580645</v>
      </c>
      <c r="H42" s="38">
        <f t="shared" si="4"/>
        <v>0.11693548387096774</v>
      </c>
    </row>
    <row r="43" spans="1:8">
      <c r="A43" s="264"/>
      <c r="B43" t="s">
        <v>48</v>
      </c>
      <c r="C43" s="43">
        <v>450</v>
      </c>
      <c r="D43">
        <v>20</v>
      </c>
      <c r="E43" s="30">
        <v>720</v>
      </c>
      <c r="F43" s="24"/>
      <c r="G43" s="39">
        <f t="shared" si="4"/>
        <v>0.625</v>
      </c>
      <c r="H43" s="40">
        <f t="shared" si="4"/>
        <v>2.7777777777777776E-2</v>
      </c>
    </row>
    <row r="44" spans="1:8" ht="16" thickBot="1">
      <c r="A44" s="264"/>
      <c r="B44" s="23" t="s">
        <v>49</v>
      </c>
      <c r="C44" s="44">
        <v>165</v>
      </c>
      <c r="D44" s="23">
        <v>0</v>
      </c>
      <c r="E44" s="31">
        <v>2875</v>
      </c>
      <c r="F44" s="24"/>
      <c r="G44" s="41">
        <f t="shared" si="4"/>
        <v>5.7391304347826085E-2</v>
      </c>
      <c r="H44" s="42">
        <f t="shared" si="4"/>
        <v>0</v>
      </c>
    </row>
    <row r="45" spans="1:8">
      <c r="A45" s="264"/>
      <c r="B45" t="s">
        <v>12</v>
      </c>
      <c r="C45" s="32">
        <v>3450</v>
      </c>
      <c r="D45" s="32">
        <v>1700</v>
      </c>
      <c r="E45" s="29">
        <v>7380</v>
      </c>
      <c r="F45" s="25"/>
      <c r="G45" s="38"/>
    </row>
    <row r="46" spans="1:8">
      <c r="A46" s="264"/>
      <c r="B46" s="45"/>
      <c r="C46" s="46"/>
      <c r="E46" s="33"/>
      <c r="G46" s="38"/>
    </row>
    <row r="47" spans="1:8">
      <c r="A47" s="264"/>
      <c r="E47" s="33"/>
      <c r="G47" s="38"/>
    </row>
    <row r="48" spans="1:8">
      <c r="A48" s="264"/>
      <c r="B48" t="s">
        <v>15</v>
      </c>
      <c r="C48" s="27" t="s">
        <v>10</v>
      </c>
      <c r="D48" s="27" t="s">
        <v>11</v>
      </c>
      <c r="E48" s="28" t="s">
        <v>12</v>
      </c>
      <c r="G48" s="38"/>
    </row>
    <row r="49" spans="1:8">
      <c r="A49" s="264"/>
      <c r="B49" t="s">
        <v>45</v>
      </c>
      <c r="C49">
        <v>240</v>
      </c>
      <c r="D49">
        <v>205</v>
      </c>
      <c r="E49" s="30">
        <v>330</v>
      </c>
      <c r="F49" s="24"/>
      <c r="G49" s="38">
        <f t="shared" ref="G49:G53" si="5">C49/E49</f>
        <v>0.72727272727272729</v>
      </c>
      <c r="H49" s="38">
        <f>D49/$E49</f>
        <v>0.62121212121212122</v>
      </c>
    </row>
    <row r="50" spans="1:8">
      <c r="A50" s="264"/>
      <c r="B50" t="s">
        <v>46</v>
      </c>
      <c r="C50">
        <v>175</v>
      </c>
      <c r="D50">
        <v>105</v>
      </c>
      <c r="E50" s="30">
        <v>330</v>
      </c>
      <c r="F50" s="24"/>
      <c r="G50" s="38">
        <f t="shared" si="5"/>
        <v>0.53030303030303028</v>
      </c>
      <c r="H50" s="38">
        <f t="shared" ref="H50:H53" si="6">D50/$E50</f>
        <v>0.31818181818181818</v>
      </c>
    </row>
    <row r="51" spans="1:8" ht="16" thickBot="1">
      <c r="A51" s="264"/>
      <c r="B51" t="s">
        <v>47</v>
      </c>
      <c r="C51">
        <v>410</v>
      </c>
      <c r="D51">
        <v>35</v>
      </c>
      <c r="E51" s="30">
        <v>630</v>
      </c>
      <c r="F51" s="24"/>
      <c r="G51" s="38">
        <f t="shared" si="5"/>
        <v>0.65079365079365081</v>
      </c>
      <c r="H51" s="38">
        <f t="shared" si="6"/>
        <v>5.5555555555555552E-2</v>
      </c>
    </row>
    <row r="52" spans="1:8">
      <c r="A52" s="264"/>
      <c r="B52" t="s">
        <v>48</v>
      </c>
      <c r="C52" s="43">
        <v>155</v>
      </c>
      <c r="D52">
        <v>20</v>
      </c>
      <c r="E52" s="30">
        <v>350</v>
      </c>
      <c r="F52" s="24"/>
      <c r="G52" s="39">
        <f t="shared" si="5"/>
        <v>0.44285714285714284</v>
      </c>
      <c r="H52" s="40">
        <f t="shared" si="6"/>
        <v>5.7142857142857141E-2</v>
      </c>
    </row>
    <row r="53" spans="1:8" ht="16" thickBot="1">
      <c r="A53" s="264"/>
      <c r="B53" s="23" t="s">
        <v>49</v>
      </c>
      <c r="C53" s="44">
        <v>250</v>
      </c>
      <c r="D53" s="23">
        <v>0</v>
      </c>
      <c r="E53" s="31">
        <v>3240</v>
      </c>
      <c r="F53" s="24"/>
      <c r="G53" s="41">
        <f t="shared" si="5"/>
        <v>7.716049382716049E-2</v>
      </c>
      <c r="H53" s="42">
        <f t="shared" si="6"/>
        <v>0</v>
      </c>
    </row>
    <row r="54" spans="1:8" ht="16" thickBot="1">
      <c r="A54" s="265"/>
      <c r="B54" s="34" t="s">
        <v>12</v>
      </c>
      <c r="C54" s="35">
        <v>1230</v>
      </c>
      <c r="D54" s="34">
        <v>365</v>
      </c>
      <c r="E54" s="36">
        <v>4880</v>
      </c>
      <c r="F54" s="25"/>
      <c r="G54" s="24"/>
    </row>
    <row r="55" spans="1:8">
      <c r="G55" s="24"/>
    </row>
    <row r="56" spans="1:8">
      <c r="B56" s="45"/>
      <c r="C56" s="46"/>
      <c r="G56" s="24"/>
    </row>
    <row r="57" spans="1:8">
      <c r="G57" s="24"/>
    </row>
    <row r="58" spans="1:8" ht="16" thickBot="1"/>
    <row r="59" spans="1:8" ht="15" customHeight="1">
      <c r="A59" s="263" t="s">
        <v>30</v>
      </c>
      <c r="B59" s="50"/>
      <c r="C59" s="66" t="s">
        <v>40</v>
      </c>
      <c r="D59" s="66" t="s">
        <v>17</v>
      </c>
      <c r="E59" s="67" t="s">
        <v>41</v>
      </c>
    </row>
    <row r="60" spans="1:8">
      <c r="A60" s="264"/>
      <c r="B60" t="s">
        <v>33</v>
      </c>
      <c r="C60" s="68">
        <v>1692</v>
      </c>
      <c r="D60" s="68">
        <v>1859</v>
      </c>
      <c r="E60" s="69">
        <v>1672</v>
      </c>
      <c r="F60" t="s">
        <v>20</v>
      </c>
      <c r="H60" t="s">
        <v>20</v>
      </c>
    </row>
    <row r="61" spans="1:8">
      <c r="A61" s="264"/>
      <c r="B61" t="s">
        <v>34</v>
      </c>
      <c r="C61" s="68">
        <v>1461</v>
      </c>
      <c r="D61" s="68">
        <v>1675</v>
      </c>
      <c r="E61" s="69">
        <v>1554</v>
      </c>
      <c r="F61" t="s">
        <v>20</v>
      </c>
      <c r="H61" t="s">
        <v>20</v>
      </c>
    </row>
    <row r="62" spans="1:8">
      <c r="A62" s="264"/>
      <c r="B62" t="s">
        <v>35</v>
      </c>
      <c r="C62" s="68">
        <v>1530</v>
      </c>
      <c r="D62" s="68">
        <v>1692</v>
      </c>
      <c r="E62" s="69">
        <v>1524</v>
      </c>
      <c r="F62" t="s">
        <v>20</v>
      </c>
      <c r="H62" t="s">
        <v>20</v>
      </c>
    </row>
    <row r="63" spans="1:8">
      <c r="A63" s="264"/>
      <c r="B63" t="s">
        <v>36</v>
      </c>
      <c r="C63" s="68">
        <v>1708</v>
      </c>
      <c r="D63" s="68">
        <v>1891</v>
      </c>
      <c r="E63" s="69">
        <v>1632</v>
      </c>
      <c r="F63" t="s">
        <v>20</v>
      </c>
      <c r="H63" t="s">
        <v>20</v>
      </c>
    </row>
    <row r="64" spans="1:8">
      <c r="A64" s="264"/>
      <c r="B64" t="s">
        <v>37</v>
      </c>
      <c r="C64" s="68">
        <v>1811</v>
      </c>
      <c r="D64" s="68">
        <v>2123</v>
      </c>
      <c r="E64" s="69">
        <v>1764</v>
      </c>
      <c r="F64" t="s">
        <v>20</v>
      </c>
      <c r="H64" t="s">
        <v>20</v>
      </c>
    </row>
    <row r="65" spans="1:16384">
      <c r="A65" s="264"/>
      <c r="B65" t="s">
        <v>38</v>
      </c>
      <c r="C65" s="68">
        <v>2008</v>
      </c>
      <c r="D65" s="68">
        <v>2483</v>
      </c>
      <c r="E65" s="69">
        <v>2139</v>
      </c>
      <c r="F65" t="s">
        <v>20</v>
      </c>
      <c r="H65" t="s">
        <v>20</v>
      </c>
    </row>
    <row r="66" spans="1:16384" ht="16" thickBot="1">
      <c r="A66" s="265"/>
      <c r="B66" s="34" t="s">
        <v>39</v>
      </c>
      <c r="C66" s="70">
        <v>2258</v>
      </c>
      <c r="D66" s="70" t="s">
        <v>20</v>
      </c>
      <c r="E66" s="71">
        <v>2366</v>
      </c>
      <c r="F66" t="s">
        <v>20</v>
      </c>
      <c r="H66" t="s">
        <v>20</v>
      </c>
    </row>
    <row r="69" spans="1:16384" ht="16" thickBot="1"/>
    <row r="70" spans="1:16384" ht="15" customHeight="1">
      <c r="A70" s="263" t="s">
        <v>30</v>
      </c>
      <c r="B70" s="50" t="s">
        <v>54</v>
      </c>
      <c r="C70" s="266" t="s">
        <v>17</v>
      </c>
      <c r="D70" s="266"/>
      <c r="E70" s="266" t="s">
        <v>40</v>
      </c>
      <c r="F70" s="266"/>
      <c r="G70" s="266" t="s">
        <v>55</v>
      </c>
      <c r="H70" s="266"/>
      <c r="I70" s="266" t="s">
        <v>56</v>
      </c>
      <c r="J70" s="267"/>
    </row>
    <row r="71" spans="1:16384">
      <c r="A71" s="264"/>
      <c r="B71" s="4" t="s">
        <v>50</v>
      </c>
      <c r="C71" s="46">
        <v>1320</v>
      </c>
      <c r="D71" s="4" t="s">
        <v>20</v>
      </c>
      <c r="E71" s="46">
        <v>43591</v>
      </c>
      <c r="F71" s="4" t="s">
        <v>20</v>
      </c>
      <c r="G71" s="46">
        <v>184267</v>
      </c>
      <c r="H71" s="4" t="s">
        <v>20</v>
      </c>
      <c r="I71" s="46">
        <v>467469</v>
      </c>
      <c r="J71" s="33" t="s">
        <v>20</v>
      </c>
    </row>
    <row r="72" spans="1:16384">
      <c r="A72" s="264"/>
      <c r="B72" s="4" t="s">
        <v>51</v>
      </c>
      <c r="C72" s="46">
        <v>631</v>
      </c>
      <c r="D72" s="88">
        <v>0.47803030303030303</v>
      </c>
      <c r="E72" s="46">
        <v>14918</v>
      </c>
      <c r="F72" s="88">
        <v>0.34222660640957997</v>
      </c>
      <c r="G72" s="46">
        <v>63054</v>
      </c>
      <c r="H72" s="88">
        <v>0.34218823772026463</v>
      </c>
      <c r="I72" s="46">
        <v>104207</v>
      </c>
      <c r="J72" s="89">
        <v>0.22291745548902708</v>
      </c>
    </row>
    <row r="73" spans="1:16384">
      <c r="A73" s="264"/>
      <c r="B73" s="4" t="s">
        <v>52</v>
      </c>
      <c r="C73" s="46">
        <v>55</v>
      </c>
      <c r="D73" s="88">
        <v>4.1666666666666664E-2</v>
      </c>
      <c r="E73" s="46">
        <v>2754</v>
      </c>
      <c r="F73" s="88">
        <v>6.3178178981899938E-2</v>
      </c>
      <c r="G73" s="46">
        <v>15627</v>
      </c>
      <c r="H73" s="88">
        <v>8.4806286529872418E-2</v>
      </c>
      <c r="I73" s="46">
        <v>29481</v>
      </c>
      <c r="J73" s="89">
        <v>6.3065144426689257E-2</v>
      </c>
    </row>
    <row r="74" spans="1:16384" ht="16" thickBot="1">
      <c r="A74" s="265"/>
      <c r="B74" s="55" t="s">
        <v>53</v>
      </c>
      <c r="C74" s="90">
        <v>634</v>
      </c>
      <c r="D74" s="91">
        <v>0.48030303030303029</v>
      </c>
      <c r="E74" s="90">
        <v>25919</v>
      </c>
      <c r="F74" s="91">
        <v>0.59459521460852016</v>
      </c>
      <c r="G74" s="90">
        <v>105586</v>
      </c>
      <c r="H74" s="91">
        <v>0.57300547574986294</v>
      </c>
      <c r="I74" s="90">
        <v>333781</v>
      </c>
      <c r="J74" s="92">
        <v>0.71401740008428372</v>
      </c>
    </row>
    <row r="75" spans="1:16384">
      <c r="A75" s="49"/>
      <c r="C75" s="93"/>
      <c r="D75" s="94"/>
      <c r="E75" s="93"/>
      <c r="F75" s="94"/>
      <c r="G75" s="93"/>
      <c r="H75" s="94"/>
      <c r="I75" s="93"/>
      <c r="J75" s="88"/>
    </row>
    <row r="76" spans="1:16384">
      <c r="A76" s="49"/>
      <c r="B76" s="4" t="s">
        <v>64</v>
      </c>
      <c r="C76" s="94">
        <f>C74/C79</f>
        <v>4.6132576584442989E-2</v>
      </c>
      <c r="D76" s="94"/>
      <c r="E76" s="94">
        <f t="shared" ref="E76:I76" si="7">E74/E79</f>
        <v>7.834537375691443E-2</v>
      </c>
      <c r="F76" s="94"/>
      <c r="G76" s="94">
        <f t="shared" si="7"/>
        <v>4.227969000393221E-2</v>
      </c>
      <c r="H76" s="94"/>
      <c r="I76" s="94">
        <f t="shared" si="7"/>
        <v>7.3490340358027095E-2</v>
      </c>
      <c r="J76" s="94"/>
    </row>
    <row r="77" spans="1:16384" ht="16" thickBot="1">
      <c r="A77" s="47"/>
    </row>
    <row r="78" spans="1:16384" ht="15" customHeight="1">
      <c r="A78" s="263" t="s">
        <v>30</v>
      </c>
      <c r="B78" s="50"/>
      <c r="C78" s="266" t="s">
        <v>17</v>
      </c>
      <c r="D78" s="266"/>
      <c r="E78" s="266" t="s">
        <v>40</v>
      </c>
      <c r="F78" s="266"/>
      <c r="G78" s="266" t="s">
        <v>55</v>
      </c>
      <c r="H78" s="266"/>
      <c r="I78" s="266" t="s">
        <v>56</v>
      </c>
      <c r="J78" s="267"/>
      <c r="K78" s="262"/>
      <c r="L78" s="262"/>
      <c r="M78" s="262"/>
      <c r="N78" s="262"/>
      <c r="O78" s="262"/>
      <c r="P78" s="262"/>
      <c r="Q78" s="262"/>
      <c r="R78" s="262"/>
      <c r="S78" s="262"/>
      <c r="T78" s="262"/>
      <c r="U78" s="262"/>
      <c r="V78" s="262"/>
      <c r="W78" s="262"/>
      <c r="X78" s="262"/>
      <c r="Y78" s="262"/>
      <c r="Z78" s="262"/>
      <c r="AA78" s="262"/>
      <c r="AB78" s="262"/>
      <c r="AC78" s="262"/>
      <c r="AD78" s="262"/>
      <c r="AE78" s="262"/>
      <c r="AF78" s="262"/>
      <c r="AG78" s="262"/>
      <c r="AH78" s="262"/>
      <c r="AI78" s="262"/>
      <c r="AJ78" s="262"/>
      <c r="AK78" s="262"/>
      <c r="AL78" s="262"/>
      <c r="AM78" s="262"/>
      <c r="AN78" s="262"/>
      <c r="AO78" s="262"/>
      <c r="AP78" s="262"/>
      <c r="AQ78" s="262"/>
      <c r="AR78" s="262"/>
      <c r="AS78" s="262"/>
      <c r="AT78" s="262"/>
      <c r="AU78" s="262"/>
      <c r="AV78" s="262"/>
      <c r="AW78" s="262"/>
      <c r="AX78" s="262"/>
      <c r="AY78" s="262"/>
      <c r="AZ78" s="262"/>
      <c r="BA78" s="262"/>
      <c r="BB78" s="262"/>
      <c r="BC78" s="262"/>
      <c r="BD78" s="262"/>
      <c r="BE78" s="262"/>
      <c r="BF78" s="262"/>
      <c r="BG78" s="262"/>
      <c r="BH78" s="262"/>
      <c r="BI78" s="262"/>
      <c r="BJ78" s="262"/>
      <c r="BK78" s="262"/>
      <c r="BL78" s="262"/>
      <c r="BM78" s="262"/>
      <c r="BN78" s="262"/>
      <c r="BO78" s="262"/>
      <c r="BP78" s="262"/>
      <c r="BQ78" s="262"/>
      <c r="BR78" s="262"/>
      <c r="BS78" s="262"/>
      <c r="BT78" s="262"/>
      <c r="BU78" s="262"/>
      <c r="BV78" s="262"/>
      <c r="BW78" s="262"/>
      <c r="BX78" s="262"/>
      <c r="BY78" s="262"/>
      <c r="BZ78" s="262"/>
      <c r="CA78" s="262"/>
      <c r="CB78" s="262"/>
      <c r="CC78" s="262"/>
      <c r="CD78" s="262"/>
      <c r="CE78" s="262"/>
      <c r="CF78" s="262"/>
      <c r="CG78" s="262"/>
      <c r="CH78" s="262"/>
      <c r="CI78" s="262"/>
      <c r="CJ78" s="262"/>
      <c r="CK78" s="262"/>
      <c r="CL78" s="262"/>
      <c r="CM78" s="262"/>
      <c r="CN78" s="262"/>
      <c r="CO78" s="262"/>
      <c r="CP78" s="262"/>
      <c r="CQ78" s="262"/>
      <c r="CR78" s="262"/>
      <c r="CS78" s="262"/>
      <c r="CT78" s="262"/>
      <c r="CU78" s="262"/>
      <c r="CV78" s="262"/>
      <c r="CW78" s="262"/>
      <c r="CX78" s="262"/>
      <c r="CY78" s="262"/>
      <c r="CZ78" s="262"/>
      <c r="DA78" s="262"/>
      <c r="DB78" s="262"/>
      <c r="DC78" s="262"/>
      <c r="DD78" s="262"/>
      <c r="DE78" s="262"/>
      <c r="DF78" s="262"/>
      <c r="DG78" s="262"/>
      <c r="DH78" s="262"/>
      <c r="DI78" s="262"/>
      <c r="DJ78" s="262"/>
      <c r="DK78" s="262"/>
      <c r="DL78" s="262"/>
      <c r="DM78" s="262"/>
      <c r="DN78" s="262"/>
      <c r="DO78" s="262"/>
      <c r="DP78" s="262"/>
      <c r="DQ78" s="262"/>
      <c r="DR78" s="262"/>
      <c r="DS78" s="262"/>
      <c r="DT78" s="262"/>
      <c r="DU78" s="262"/>
      <c r="DV78" s="262"/>
      <c r="DW78" s="262"/>
      <c r="DX78" s="262"/>
      <c r="DY78" s="262"/>
      <c r="DZ78" s="262"/>
      <c r="EA78" s="262"/>
      <c r="EB78" s="262"/>
      <c r="EC78" s="262"/>
      <c r="ED78" s="262"/>
      <c r="EE78" s="262"/>
      <c r="EF78" s="262"/>
      <c r="EG78" s="262"/>
      <c r="EH78" s="262"/>
      <c r="EI78" s="262"/>
      <c r="EJ78" s="262"/>
      <c r="EK78" s="262"/>
      <c r="EL78" s="262"/>
      <c r="EM78" s="262"/>
      <c r="EN78" s="262"/>
      <c r="EO78" s="262"/>
      <c r="EP78" s="262"/>
      <c r="EQ78" s="262"/>
      <c r="ER78" s="262"/>
      <c r="ES78" s="262"/>
      <c r="ET78" s="262"/>
      <c r="EU78" s="262"/>
      <c r="EV78" s="262"/>
      <c r="EW78" s="262"/>
      <c r="EX78" s="262"/>
      <c r="EY78" s="262"/>
      <c r="EZ78" s="262"/>
      <c r="FA78" s="262"/>
      <c r="FB78" s="262"/>
      <c r="FC78" s="262"/>
      <c r="FD78" s="262"/>
      <c r="FE78" s="262"/>
      <c r="FF78" s="262"/>
      <c r="FG78" s="262"/>
      <c r="FH78" s="262"/>
      <c r="FI78" s="262"/>
      <c r="FJ78" s="262"/>
      <c r="FK78" s="262"/>
      <c r="FL78" s="262"/>
      <c r="FM78" s="262"/>
      <c r="FN78" s="262"/>
      <c r="FO78" s="262"/>
      <c r="FP78" s="262"/>
      <c r="FQ78" s="262"/>
      <c r="FR78" s="262"/>
      <c r="FS78" s="262"/>
      <c r="FT78" s="262"/>
      <c r="FU78" s="262"/>
      <c r="FV78" s="262"/>
      <c r="FW78" s="262"/>
      <c r="FX78" s="262"/>
      <c r="FY78" s="262"/>
      <c r="FZ78" s="262"/>
      <c r="GA78" s="262"/>
      <c r="GB78" s="262"/>
      <c r="GC78" s="262"/>
      <c r="GD78" s="262"/>
      <c r="GE78" s="262"/>
      <c r="GF78" s="262"/>
      <c r="GG78" s="262"/>
      <c r="GH78" s="262"/>
      <c r="GI78" s="262"/>
      <c r="GJ78" s="262"/>
      <c r="GK78" s="262"/>
      <c r="GL78" s="262"/>
      <c r="GM78" s="262"/>
      <c r="GN78" s="262"/>
      <c r="GO78" s="262"/>
      <c r="GP78" s="262"/>
      <c r="GQ78" s="262"/>
      <c r="GR78" s="262"/>
      <c r="GS78" s="262"/>
      <c r="GT78" s="262"/>
      <c r="GU78" s="262"/>
      <c r="GV78" s="262"/>
      <c r="GW78" s="262"/>
      <c r="GX78" s="262"/>
      <c r="GY78" s="262"/>
      <c r="GZ78" s="262"/>
      <c r="HA78" s="262"/>
      <c r="HB78" s="262"/>
      <c r="HC78" s="262"/>
      <c r="HD78" s="262"/>
      <c r="HE78" s="262"/>
      <c r="HF78" s="262"/>
      <c r="HG78" s="262"/>
      <c r="HH78" s="262"/>
      <c r="HI78" s="262"/>
      <c r="HJ78" s="262"/>
      <c r="HK78" s="262"/>
      <c r="HL78" s="262"/>
      <c r="HM78" s="262"/>
      <c r="HN78" s="262"/>
      <c r="HO78" s="262"/>
      <c r="HP78" s="262"/>
      <c r="HQ78" s="262"/>
      <c r="HR78" s="262"/>
      <c r="HS78" s="262"/>
      <c r="HT78" s="262"/>
      <c r="HU78" s="262"/>
      <c r="HV78" s="262"/>
      <c r="HW78" s="262"/>
      <c r="HX78" s="262"/>
      <c r="HY78" s="262"/>
      <c r="HZ78" s="262"/>
      <c r="IA78" s="262"/>
      <c r="IB78" s="262"/>
      <c r="IC78" s="262"/>
      <c r="ID78" s="262"/>
      <c r="IE78" s="262"/>
      <c r="IF78" s="262"/>
      <c r="IG78" s="262"/>
      <c r="IH78" s="262"/>
      <c r="II78" s="262"/>
      <c r="IJ78" s="262"/>
      <c r="IK78" s="262"/>
      <c r="IL78" s="262"/>
      <c r="IM78" s="262"/>
      <c r="IN78" s="262"/>
      <c r="IO78" s="262"/>
      <c r="IP78" s="262"/>
      <c r="IQ78" s="262"/>
      <c r="IR78" s="262"/>
      <c r="IS78" s="262"/>
      <c r="IT78" s="262"/>
      <c r="IU78" s="262"/>
      <c r="IV78" s="262"/>
      <c r="IW78" s="262"/>
      <c r="IX78" s="262"/>
      <c r="IY78" s="262"/>
      <c r="IZ78" s="262"/>
      <c r="JA78" s="262"/>
      <c r="JB78" s="262"/>
      <c r="JC78" s="262"/>
      <c r="JD78" s="262"/>
      <c r="JE78" s="262"/>
      <c r="JF78" s="262"/>
      <c r="JG78" s="262"/>
      <c r="JH78" s="262"/>
      <c r="JI78" s="262"/>
      <c r="JJ78" s="262"/>
      <c r="JK78" s="262"/>
      <c r="JL78" s="262"/>
      <c r="JM78" s="262"/>
      <c r="JN78" s="262"/>
      <c r="JO78" s="262"/>
      <c r="JP78" s="262"/>
      <c r="JQ78" s="262"/>
      <c r="JR78" s="262"/>
      <c r="JS78" s="262"/>
      <c r="JT78" s="262"/>
      <c r="JU78" s="262"/>
      <c r="JV78" s="262"/>
      <c r="JW78" s="262"/>
      <c r="JX78" s="262"/>
      <c r="JY78" s="262"/>
      <c r="JZ78" s="262"/>
      <c r="KA78" s="262"/>
      <c r="KB78" s="262"/>
      <c r="KC78" s="262"/>
      <c r="KD78" s="262"/>
      <c r="KE78" s="262"/>
      <c r="KF78" s="262"/>
      <c r="KG78" s="262"/>
      <c r="KH78" s="262"/>
      <c r="KI78" s="262"/>
      <c r="KJ78" s="262"/>
      <c r="KK78" s="262"/>
      <c r="KL78" s="262"/>
      <c r="KM78" s="262"/>
      <c r="KN78" s="262"/>
      <c r="KO78" s="262"/>
      <c r="KP78" s="262"/>
      <c r="KQ78" s="262"/>
      <c r="KR78" s="262"/>
      <c r="KS78" s="262"/>
      <c r="KT78" s="262"/>
      <c r="KU78" s="262"/>
      <c r="KV78" s="262"/>
      <c r="KW78" s="262"/>
      <c r="KX78" s="262"/>
      <c r="KY78" s="262"/>
      <c r="KZ78" s="262"/>
      <c r="LA78" s="262"/>
      <c r="LB78" s="262"/>
      <c r="LC78" s="262"/>
      <c r="LD78" s="262"/>
      <c r="LE78" s="262"/>
      <c r="LF78" s="262"/>
      <c r="LG78" s="262"/>
      <c r="LH78" s="262"/>
      <c r="LI78" s="262"/>
      <c r="LJ78" s="262"/>
      <c r="LK78" s="262"/>
      <c r="LL78" s="262"/>
      <c r="LM78" s="262"/>
      <c r="LN78" s="262"/>
      <c r="LO78" s="262"/>
      <c r="LP78" s="262"/>
      <c r="LQ78" s="262"/>
      <c r="LR78" s="262"/>
      <c r="LS78" s="262"/>
      <c r="LT78" s="262"/>
      <c r="LU78" s="262"/>
      <c r="LV78" s="262"/>
      <c r="LW78" s="262"/>
      <c r="LX78" s="262"/>
      <c r="LY78" s="262"/>
      <c r="LZ78" s="262"/>
      <c r="MA78" s="262"/>
      <c r="MB78" s="262"/>
      <c r="MC78" s="262"/>
      <c r="MD78" s="262"/>
      <c r="ME78" s="262"/>
      <c r="MF78" s="262"/>
      <c r="MG78" s="262"/>
      <c r="MH78" s="262"/>
      <c r="MI78" s="262"/>
      <c r="MJ78" s="262"/>
      <c r="MK78" s="262"/>
      <c r="ML78" s="262"/>
      <c r="MM78" s="262"/>
      <c r="MN78" s="262"/>
      <c r="MO78" s="262"/>
      <c r="MP78" s="262"/>
      <c r="MQ78" s="262"/>
      <c r="MR78" s="262"/>
      <c r="MS78" s="262"/>
      <c r="MT78" s="262"/>
      <c r="MU78" s="262"/>
      <c r="MV78" s="262"/>
      <c r="MW78" s="262"/>
      <c r="MX78" s="262"/>
      <c r="MY78" s="262"/>
      <c r="MZ78" s="262"/>
      <c r="NA78" s="262"/>
      <c r="NB78" s="262"/>
      <c r="NC78" s="262"/>
      <c r="ND78" s="262"/>
      <c r="NE78" s="262"/>
      <c r="NF78" s="262"/>
      <c r="NG78" s="262"/>
      <c r="NH78" s="262"/>
      <c r="NI78" s="262"/>
      <c r="NJ78" s="262"/>
      <c r="NK78" s="262"/>
      <c r="NL78" s="262"/>
      <c r="NM78" s="262"/>
      <c r="NN78" s="262"/>
      <c r="NO78" s="262"/>
      <c r="NP78" s="262"/>
      <c r="NQ78" s="262"/>
      <c r="NR78" s="262"/>
      <c r="NS78" s="262"/>
      <c r="NT78" s="262"/>
      <c r="NU78" s="262"/>
      <c r="NV78" s="262"/>
      <c r="NW78" s="262"/>
      <c r="NX78" s="262"/>
      <c r="NY78" s="262"/>
      <c r="NZ78" s="262"/>
      <c r="OA78" s="262"/>
      <c r="OB78" s="262"/>
      <c r="OC78" s="262"/>
      <c r="OD78" s="262"/>
      <c r="OE78" s="262"/>
      <c r="OF78" s="262"/>
      <c r="OG78" s="262"/>
      <c r="OH78" s="262"/>
      <c r="OI78" s="262"/>
      <c r="OJ78" s="262"/>
      <c r="OK78" s="262"/>
      <c r="OL78" s="262"/>
      <c r="OM78" s="262"/>
      <c r="ON78" s="262"/>
      <c r="OO78" s="262"/>
      <c r="OP78" s="262"/>
      <c r="OQ78" s="262"/>
      <c r="OR78" s="262"/>
      <c r="OS78" s="262"/>
      <c r="OT78" s="262"/>
      <c r="OU78" s="262"/>
      <c r="OV78" s="262"/>
      <c r="OW78" s="262"/>
      <c r="OX78" s="262"/>
      <c r="OY78" s="262"/>
      <c r="OZ78" s="262"/>
      <c r="PA78" s="262"/>
      <c r="PB78" s="262"/>
      <c r="PC78" s="262"/>
      <c r="PD78" s="262"/>
      <c r="PE78" s="262"/>
      <c r="PF78" s="262"/>
      <c r="PG78" s="262"/>
      <c r="PH78" s="262"/>
      <c r="PI78" s="262"/>
      <c r="PJ78" s="262"/>
      <c r="PK78" s="262"/>
      <c r="PL78" s="262"/>
      <c r="PM78" s="262"/>
      <c r="PN78" s="262"/>
      <c r="PO78" s="262"/>
      <c r="PP78" s="262"/>
      <c r="PQ78" s="262"/>
      <c r="PR78" s="262"/>
      <c r="PS78" s="262"/>
      <c r="PT78" s="262"/>
      <c r="PU78" s="262"/>
      <c r="PV78" s="262"/>
      <c r="PW78" s="262"/>
      <c r="PX78" s="262"/>
      <c r="PY78" s="262"/>
      <c r="PZ78" s="262"/>
      <c r="QA78" s="262"/>
      <c r="QB78" s="262"/>
      <c r="QC78" s="262"/>
      <c r="QD78" s="262"/>
      <c r="QE78" s="262"/>
      <c r="QF78" s="262"/>
      <c r="QG78" s="262"/>
      <c r="QH78" s="262"/>
      <c r="QI78" s="262"/>
      <c r="QJ78" s="262"/>
      <c r="QK78" s="262"/>
      <c r="QL78" s="262"/>
      <c r="QM78" s="262"/>
      <c r="QN78" s="262"/>
      <c r="QO78" s="262"/>
      <c r="QP78" s="262"/>
      <c r="QQ78" s="262"/>
      <c r="QR78" s="262"/>
      <c r="QS78" s="262"/>
      <c r="QT78" s="262"/>
      <c r="QU78" s="262"/>
      <c r="QV78" s="262"/>
      <c r="QW78" s="262"/>
      <c r="QX78" s="262"/>
      <c r="QY78" s="262"/>
      <c r="QZ78" s="262"/>
      <c r="RA78" s="262"/>
      <c r="RB78" s="262"/>
      <c r="RC78" s="262"/>
      <c r="RD78" s="262"/>
      <c r="RE78" s="262"/>
      <c r="RF78" s="262"/>
      <c r="RG78" s="262"/>
      <c r="RH78" s="262"/>
      <c r="RI78" s="262"/>
      <c r="RJ78" s="262"/>
      <c r="RK78" s="262"/>
      <c r="RL78" s="262"/>
      <c r="RM78" s="262"/>
      <c r="RN78" s="262"/>
      <c r="RO78" s="262"/>
      <c r="RP78" s="262"/>
      <c r="RQ78" s="262"/>
      <c r="RR78" s="262"/>
      <c r="RS78" s="262"/>
      <c r="RT78" s="262"/>
      <c r="RU78" s="262"/>
      <c r="RV78" s="262"/>
      <c r="RW78" s="262"/>
      <c r="RX78" s="262"/>
      <c r="RY78" s="262"/>
      <c r="RZ78" s="262"/>
      <c r="SA78" s="262"/>
      <c r="SB78" s="262"/>
      <c r="SC78" s="262"/>
      <c r="SD78" s="262"/>
      <c r="SE78" s="262"/>
      <c r="SF78" s="262"/>
      <c r="SG78" s="262"/>
      <c r="SH78" s="262"/>
      <c r="SI78" s="262"/>
      <c r="SJ78" s="262"/>
      <c r="SK78" s="262"/>
      <c r="SL78" s="262"/>
      <c r="SM78" s="262"/>
      <c r="SN78" s="262"/>
      <c r="SO78" s="262"/>
      <c r="SP78" s="262"/>
      <c r="SQ78" s="262"/>
      <c r="SR78" s="262"/>
      <c r="SS78" s="262"/>
      <c r="ST78" s="262"/>
      <c r="SU78" s="262"/>
      <c r="SV78" s="262"/>
      <c r="SW78" s="262"/>
      <c r="SX78" s="262"/>
      <c r="SY78" s="262"/>
      <c r="SZ78" s="262"/>
      <c r="TA78" s="262"/>
      <c r="TB78" s="262"/>
      <c r="TC78" s="262"/>
      <c r="TD78" s="262"/>
      <c r="TE78" s="262"/>
      <c r="TF78" s="262"/>
      <c r="TG78" s="262"/>
      <c r="TH78" s="262"/>
      <c r="TI78" s="262"/>
      <c r="TJ78" s="262"/>
      <c r="TK78" s="262"/>
      <c r="TL78" s="262"/>
      <c r="TM78" s="262"/>
      <c r="TN78" s="262"/>
      <c r="TO78" s="262"/>
      <c r="TP78" s="262"/>
      <c r="TQ78" s="262"/>
      <c r="TR78" s="262"/>
      <c r="TS78" s="262"/>
      <c r="TT78" s="262"/>
      <c r="TU78" s="262"/>
      <c r="TV78" s="262"/>
      <c r="TW78" s="262"/>
      <c r="TX78" s="262"/>
      <c r="TY78" s="262"/>
      <c r="TZ78" s="262"/>
      <c r="UA78" s="262"/>
      <c r="UB78" s="262"/>
      <c r="UC78" s="262"/>
      <c r="UD78" s="262"/>
      <c r="UE78" s="262"/>
      <c r="UF78" s="262"/>
      <c r="UG78" s="262"/>
      <c r="UH78" s="262"/>
      <c r="UI78" s="262"/>
      <c r="UJ78" s="262"/>
      <c r="UK78" s="262"/>
      <c r="UL78" s="262"/>
      <c r="UM78" s="262"/>
      <c r="UN78" s="262"/>
      <c r="UO78" s="262"/>
      <c r="UP78" s="262"/>
      <c r="UQ78" s="262"/>
      <c r="UR78" s="262"/>
      <c r="US78" s="262"/>
      <c r="UT78" s="262"/>
      <c r="UU78" s="262"/>
      <c r="UV78" s="262"/>
      <c r="UW78" s="262"/>
      <c r="UX78" s="262"/>
      <c r="UY78" s="262"/>
      <c r="UZ78" s="262"/>
      <c r="VA78" s="262"/>
      <c r="VB78" s="262"/>
      <c r="VC78" s="262"/>
      <c r="VD78" s="262"/>
      <c r="VE78" s="262"/>
      <c r="VF78" s="262"/>
      <c r="VG78" s="262"/>
      <c r="VH78" s="262"/>
      <c r="VI78" s="262"/>
      <c r="VJ78" s="262"/>
      <c r="VK78" s="262"/>
      <c r="VL78" s="262"/>
      <c r="VM78" s="262"/>
      <c r="VN78" s="262"/>
      <c r="VO78" s="262"/>
      <c r="VP78" s="262"/>
      <c r="VQ78" s="262"/>
      <c r="VR78" s="262"/>
      <c r="VS78" s="262"/>
      <c r="VT78" s="262"/>
      <c r="VU78" s="262"/>
      <c r="VV78" s="262"/>
      <c r="VW78" s="262"/>
      <c r="VX78" s="262"/>
      <c r="VY78" s="262"/>
      <c r="VZ78" s="262"/>
      <c r="WA78" s="262"/>
      <c r="WB78" s="262"/>
      <c r="WC78" s="262"/>
      <c r="WD78" s="262"/>
      <c r="WE78" s="262"/>
      <c r="WF78" s="262"/>
      <c r="WG78" s="262"/>
      <c r="WH78" s="262"/>
      <c r="WI78" s="262"/>
      <c r="WJ78" s="262"/>
      <c r="WK78" s="262"/>
      <c r="WL78" s="262"/>
      <c r="WM78" s="262"/>
      <c r="WN78" s="262"/>
      <c r="WO78" s="262"/>
      <c r="WP78" s="262"/>
      <c r="WQ78" s="262"/>
      <c r="WR78" s="262"/>
      <c r="WS78" s="262"/>
      <c r="WT78" s="262"/>
      <c r="WU78" s="262"/>
      <c r="WV78" s="262"/>
      <c r="WW78" s="262"/>
      <c r="WX78" s="262"/>
      <c r="WY78" s="262"/>
      <c r="WZ78" s="262"/>
      <c r="XA78" s="262"/>
      <c r="XB78" s="262"/>
      <c r="XC78" s="262"/>
      <c r="XD78" s="262"/>
      <c r="XE78" s="262"/>
      <c r="XF78" s="262"/>
      <c r="XG78" s="262"/>
      <c r="XH78" s="262"/>
      <c r="XI78" s="262"/>
      <c r="XJ78" s="262"/>
      <c r="XK78" s="262"/>
      <c r="XL78" s="262"/>
      <c r="XM78" s="262"/>
      <c r="XN78" s="262"/>
      <c r="XO78" s="262"/>
      <c r="XP78" s="262"/>
      <c r="XQ78" s="262"/>
      <c r="XR78" s="262"/>
      <c r="XS78" s="262"/>
      <c r="XT78" s="262"/>
      <c r="XU78" s="262"/>
      <c r="XV78" s="262"/>
      <c r="XW78" s="262"/>
      <c r="XX78" s="262"/>
      <c r="XY78" s="262"/>
      <c r="XZ78" s="262"/>
      <c r="YA78" s="262"/>
      <c r="YB78" s="262"/>
      <c r="YC78" s="262"/>
      <c r="YD78" s="262"/>
      <c r="YE78" s="262"/>
      <c r="YF78" s="262"/>
      <c r="YG78" s="262"/>
      <c r="YH78" s="262"/>
      <c r="YI78" s="262"/>
      <c r="YJ78" s="262"/>
      <c r="YK78" s="262"/>
      <c r="YL78" s="262"/>
      <c r="YM78" s="262"/>
      <c r="YN78" s="262"/>
      <c r="YO78" s="262"/>
      <c r="YP78" s="262"/>
      <c r="YQ78" s="262"/>
      <c r="YR78" s="262"/>
      <c r="YS78" s="262"/>
      <c r="YT78" s="262"/>
      <c r="YU78" s="262"/>
      <c r="YV78" s="262"/>
      <c r="YW78" s="262"/>
      <c r="YX78" s="262"/>
      <c r="YY78" s="262"/>
      <c r="YZ78" s="262"/>
      <c r="ZA78" s="262"/>
      <c r="ZB78" s="262"/>
      <c r="ZC78" s="262"/>
      <c r="ZD78" s="262"/>
      <c r="ZE78" s="262"/>
      <c r="ZF78" s="262"/>
      <c r="ZG78" s="262"/>
      <c r="ZH78" s="262"/>
      <c r="ZI78" s="262"/>
      <c r="ZJ78" s="262"/>
      <c r="ZK78" s="262"/>
      <c r="ZL78" s="262"/>
      <c r="ZM78" s="262"/>
      <c r="ZN78" s="262"/>
      <c r="ZO78" s="262"/>
      <c r="ZP78" s="262"/>
      <c r="ZQ78" s="262"/>
      <c r="ZR78" s="262"/>
      <c r="ZS78" s="262"/>
      <c r="ZT78" s="262"/>
      <c r="ZU78" s="262"/>
      <c r="ZV78" s="262"/>
      <c r="ZW78" s="262"/>
      <c r="ZX78" s="262"/>
      <c r="ZY78" s="262"/>
      <c r="ZZ78" s="262"/>
      <c r="AAA78" s="262"/>
      <c r="AAB78" s="262"/>
      <c r="AAC78" s="262"/>
      <c r="AAD78" s="262"/>
      <c r="AAE78" s="262"/>
      <c r="AAF78" s="262"/>
      <c r="AAG78" s="262"/>
      <c r="AAH78" s="262"/>
      <c r="AAI78" s="262"/>
      <c r="AAJ78" s="262"/>
      <c r="AAK78" s="262"/>
      <c r="AAL78" s="262"/>
      <c r="AAM78" s="262"/>
      <c r="AAN78" s="262"/>
      <c r="AAO78" s="262"/>
      <c r="AAP78" s="262"/>
      <c r="AAQ78" s="262"/>
      <c r="AAR78" s="262"/>
      <c r="AAS78" s="262"/>
      <c r="AAT78" s="262"/>
      <c r="AAU78" s="262"/>
      <c r="AAV78" s="262"/>
      <c r="AAW78" s="262"/>
      <c r="AAX78" s="262"/>
      <c r="AAY78" s="262"/>
      <c r="AAZ78" s="262"/>
      <c r="ABA78" s="262"/>
      <c r="ABB78" s="262"/>
      <c r="ABC78" s="262"/>
      <c r="ABD78" s="262"/>
      <c r="ABE78" s="262"/>
      <c r="ABF78" s="262"/>
      <c r="ABG78" s="262"/>
      <c r="ABH78" s="262"/>
      <c r="ABI78" s="262"/>
      <c r="ABJ78" s="262"/>
      <c r="ABK78" s="262"/>
      <c r="ABL78" s="262"/>
      <c r="ABM78" s="262"/>
      <c r="ABN78" s="262"/>
      <c r="ABO78" s="262"/>
      <c r="ABP78" s="262"/>
      <c r="ABQ78" s="262"/>
      <c r="ABR78" s="262"/>
      <c r="ABS78" s="262"/>
      <c r="ABT78" s="262"/>
      <c r="ABU78" s="262"/>
      <c r="ABV78" s="262"/>
      <c r="ABW78" s="262"/>
      <c r="ABX78" s="262"/>
      <c r="ABY78" s="262"/>
      <c r="ABZ78" s="262"/>
      <c r="ACA78" s="262"/>
      <c r="ACB78" s="262"/>
      <c r="ACC78" s="262"/>
      <c r="ACD78" s="262"/>
      <c r="ACE78" s="262"/>
      <c r="ACF78" s="262"/>
      <c r="ACG78" s="262"/>
      <c r="ACH78" s="262"/>
      <c r="ACI78" s="262"/>
      <c r="ACJ78" s="262"/>
      <c r="ACK78" s="262"/>
      <c r="ACL78" s="262"/>
      <c r="ACM78" s="262"/>
      <c r="ACN78" s="262"/>
      <c r="ACO78" s="262"/>
      <c r="ACP78" s="262"/>
      <c r="ACQ78" s="262"/>
      <c r="ACR78" s="262"/>
      <c r="ACS78" s="262"/>
      <c r="ACT78" s="262"/>
      <c r="ACU78" s="262"/>
      <c r="ACV78" s="262"/>
      <c r="ACW78" s="262"/>
      <c r="ACX78" s="262"/>
      <c r="ACY78" s="262"/>
      <c r="ACZ78" s="262"/>
      <c r="ADA78" s="262"/>
      <c r="ADB78" s="262"/>
      <c r="ADC78" s="262"/>
      <c r="ADD78" s="262"/>
      <c r="ADE78" s="262"/>
      <c r="ADF78" s="262"/>
      <c r="ADG78" s="262"/>
      <c r="ADH78" s="262"/>
      <c r="ADI78" s="262"/>
      <c r="ADJ78" s="262"/>
      <c r="ADK78" s="262"/>
      <c r="ADL78" s="262"/>
      <c r="ADM78" s="262"/>
      <c r="ADN78" s="262"/>
      <c r="ADO78" s="262"/>
      <c r="ADP78" s="262"/>
      <c r="ADQ78" s="262"/>
      <c r="ADR78" s="262"/>
      <c r="ADS78" s="262"/>
      <c r="ADT78" s="262"/>
      <c r="ADU78" s="262"/>
      <c r="ADV78" s="262"/>
      <c r="ADW78" s="262"/>
      <c r="ADX78" s="262"/>
      <c r="ADY78" s="262"/>
      <c r="ADZ78" s="262"/>
      <c r="AEA78" s="262"/>
      <c r="AEB78" s="262"/>
      <c r="AEC78" s="262"/>
      <c r="AED78" s="262"/>
      <c r="AEE78" s="262"/>
      <c r="AEF78" s="262"/>
      <c r="AEG78" s="262"/>
      <c r="AEH78" s="262"/>
      <c r="AEI78" s="262"/>
      <c r="AEJ78" s="262"/>
      <c r="AEK78" s="262"/>
      <c r="AEL78" s="262"/>
      <c r="AEM78" s="262"/>
      <c r="AEN78" s="262"/>
      <c r="AEO78" s="262"/>
      <c r="AEP78" s="262"/>
      <c r="AEQ78" s="262"/>
      <c r="AER78" s="262"/>
      <c r="AES78" s="262"/>
      <c r="AET78" s="262"/>
      <c r="AEU78" s="262"/>
      <c r="AEV78" s="262"/>
      <c r="AEW78" s="262"/>
      <c r="AEX78" s="262"/>
      <c r="AEY78" s="262"/>
      <c r="AEZ78" s="262"/>
      <c r="AFA78" s="262"/>
      <c r="AFB78" s="262"/>
      <c r="AFC78" s="262"/>
      <c r="AFD78" s="262"/>
      <c r="AFE78" s="262"/>
      <c r="AFF78" s="262"/>
      <c r="AFG78" s="262"/>
      <c r="AFH78" s="262"/>
      <c r="AFI78" s="262"/>
      <c r="AFJ78" s="262"/>
      <c r="AFK78" s="262"/>
      <c r="AFL78" s="262"/>
      <c r="AFM78" s="262"/>
      <c r="AFN78" s="262"/>
      <c r="AFO78" s="262"/>
      <c r="AFP78" s="262"/>
      <c r="AFQ78" s="262"/>
      <c r="AFR78" s="262"/>
      <c r="AFS78" s="262"/>
      <c r="AFT78" s="262"/>
      <c r="AFU78" s="262"/>
      <c r="AFV78" s="262"/>
      <c r="AFW78" s="262"/>
      <c r="AFX78" s="262"/>
      <c r="AFY78" s="262"/>
      <c r="AFZ78" s="262"/>
      <c r="AGA78" s="262"/>
      <c r="AGB78" s="262"/>
      <c r="AGC78" s="262"/>
      <c r="AGD78" s="262"/>
      <c r="AGE78" s="262"/>
      <c r="AGF78" s="262"/>
      <c r="AGG78" s="262"/>
      <c r="AGH78" s="262"/>
      <c r="AGI78" s="262"/>
      <c r="AGJ78" s="262"/>
      <c r="AGK78" s="262"/>
      <c r="AGL78" s="262"/>
      <c r="AGM78" s="262"/>
      <c r="AGN78" s="262"/>
      <c r="AGO78" s="262"/>
      <c r="AGP78" s="262"/>
      <c r="AGQ78" s="262"/>
      <c r="AGR78" s="262"/>
      <c r="AGS78" s="262"/>
      <c r="AGT78" s="262"/>
      <c r="AGU78" s="262"/>
      <c r="AGV78" s="262"/>
      <c r="AGW78" s="262"/>
      <c r="AGX78" s="262"/>
      <c r="AGY78" s="262"/>
      <c r="AGZ78" s="262"/>
      <c r="AHA78" s="262"/>
      <c r="AHB78" s="262"/>
      <c r="AHC78" s="262"/>
      <c r="AHD78" s="262"/>
      <c r="AHE78" s="262"/>
      <c r="AHF78" s="262"/>
      <c r="AHG78" s="262"/>
      <c r="AHH78" s="262"/>
      <c r="AHI78" s="262"/>
      <c r="AHJ78" s="262"/>
      <c r="AHK78" s="262"/>
      <c r="AHL78" s="262"/>
      <c r="AHM78" s="262"/>
      <c r="AHN78" s="262"/>
      <c r="AHO78" s="262"/>
      <c r="AHP78" s="262"/>
      <c r="AHQ78" s="262"/>
      <c r="AHR78" s="262"/>
      <c r="AHS78" s="262"/>
      <c r="AHT78" s="262"/>
      <c r="AHU78" s="262"/>
      <c r="AHV78" s="262"/>
      <c r="AHW78" s="262"/>
      <c r="AHX78" s="262"/>
      <c r="AHY78" s="262"/>
      <c r="AHZ78" s="262"/>
      <c r="AIA78" s="262"/>
      <c r="AIB78" s="262"/>
      <c r="AIC78" s="262"/>
      <c r="AID78" s="262"/>
      <c r="AIE78" s="262"/>
      <c r="AIF78" s="262"/>
      <c r="AIG78" s="262"/>
      <c r="AIH78" s="262"/>
      <c r="AII78" s="262"/>
      <c r="AIJ78" s="262"/>
      <c r="AIK78" s="262"/>
      <c r="AIL78" s="262"/>
      <c r="AIM78" s="262"/>
      <c r="AIN78" s="262"/>
      <c r="AIO78" s="262"/>
      <c r="AIP78" s="262"/>
      <c r="AIQ78" s="262"/>
      <c r="AIR78" s="262"/>
      <c r="AIS78" s="262"/>
      <c r="AIT78" s="262"/>
      <c r="AIU78" s="262"/>
      <c r="AIV78" s="262"/>
      <c r="AIW78" s="262"/>
      <c r="AIX78" s="262"/>
      <c r="AIY78" s="262"/>
      <c r="AIZ78" s="262"/>
      <c r="AJA78" s="262"/>
      <c r="AJB78" s="262"/>
      <c r="AJC78" s="262"/>
      <c r="AJD78" s="262"/>
      <c r="AJE78" s="262"/>
      <c r="AJF78" s="262"/>
      <c r="AJG78" s="262"/>
      <c r="AJH78" s="262"/>
      <c r="AJI78" s="262"/>
      <c r="AJJ78" s="262"/>
      <c r="AJK78" s="262"/>
      <c r="AJL78" s="262"/>
      <c r="AJM78" s="262"/>
      <c r="AJN78" s="262"/>
      <c r="AJO78" s="262"/>
      <c r="AJP78" s="262"/>
      <c r="AJQ78" s="262"/>
      <c r="AJR78" s="262"/>
      <c r="AJS78" s="262"/>
      <c r="AJT78" s="262"/>
      <c r="AJU78" s="262"/>
      <c r="AJV78" s="262"/>
      <c r="AJW78" s="262"/>
      <c r="AJX78" s="262"/>
      <c r="AJY78" s="262"/>
      <c r="AJZ78" s="262"/>
      <c r="AKA78" s="262"/>
      <c r="AKB78" s="262"/>
      <c r="AKC78" s="262"/>
      <c r="AKD78" s="262"/>
      <c r="AKE78" s="262"/>
      <c r="AKF78" s="262"/>
      <c r="AKG78" s="262"/>
      <c r="AKH78" s="262"/>
      <c r="AKI78" s="262"/>
      <c r="AKJ78" s="262"/>
      <c r="AKK78" s="262"/>
      <c r="AKL78" s="262"/>
      <c r="AKM78" s="262"/>
      <c r="AKN78" s="262"/>
      <c r="AKO78" s="262"/>
      <c r="AKP78" s="262"/>
      <c r="AKQ78" s="262"/>
      <c r="AKR78" s="262"/>
      <c r="AKS78" s="262"/>
      <c r="AKT78" s="262"/>
      <c r="AKU78" s="262"/>
      <c r="AKV78" s="262"/>
      <c r="AKW78" s="262"/>
      <c r="AKX78" s="262"/>
      <c r="AKY78" s="262"/>
      <c r="AKZ78" s="262"/>
      <c r="ALA78" s="262"/>
      <c r="ALB78" s="262"/>
      <c r="ALC78" s="262"/>
      <c r="ALD78" s="262"/>
      <c r="ALE78" s="262"/>
      <c r="ALF78" s="262"/>
      <c r="ALG78" s="262"/>
      <c r="ALH78" s="262"/>
      <c r="ALI78" s="262"/>
      <c r="ALJ78" s="262"/>
      <c r="ALK78" s="262"/>
      <c r="ALL78" s="262"/>
      <c r="ALM78" s="262"/>
      <c r="ALN78" s="262"/>
      <c r="ALO78" s="262"/>
      <c r="ALP78" s="262"/>
      <c r="ALQ78" s="262"/>
      <c r="ALR78" s="262"/>
      <c r="ALS78" s="262"/>
      <c r="ALT78" s="262"/>
      <c r="ALU78" s="262"/>
      <c r="ALV78" s="262"/>
      <c r="ALW78" s="262"/>
      <c r="ALX78" s="262"/>
      <c r="ALY78" s="262"/>
      <c r="ALZ78" s="262"/>
      <c r="AMA78" s="262"/>
      <c r="AMB78" s="262"/>
      <c r="AMC78" s="262"/>
      <c r="AMD78" s="262"/>
      <c r="AME78" s="262"/>
      <c r="AMF78" s="262"/>
      <c r="AMG78" s="262"/>
      <c r="AMH78" s="262"/>
      <c r="AMI78" s="262"/>
      <c r="AMJ78" s="262"/>
      <c r="AMK78" s="262"/>
      <c r="AML78" s="262"/>
      <c r="AMM78" s="262"/>
      <c r="AMN78" s="262"/>
      <c r="AMO78" s="262"/>
      <c r="AMP78" s="262"/>
      <c r="AMQ78" s="262"/>
      <c r="AMR78" s="262"/>
      <c r="AMS78" s="262"/>
      <c r="AMT78" s="262"/>
      <c r="AMU78" s="262"/>
      <c r="AMV78" s="262"/>
      <c r="AMW78" s="262"/>
      <c r="AMX78" s="262"/>
      <c r="AMY78" s="262"/>
      <c r="AMZ78" s="262"/>
      <c r="ANA78" s="262"/>
      <c r="ANB78" s="262"/>
      <c r="ANC78" s="262"/>
      <c r="AND78" s="262"/>
      <c r="ANE78" s="262"/>
      <c r="ANF78" s="262"/>
      <c r="ANG78" s="262"/>
      <c r="ANH78" s="262"/>
      <c r="ANI78" s="262"/>
      <c r="ANJ78" s="262"/>
      <c r="ANK78" s="262"/>
      <c r="ANL78" s="262"/>
      <c r="ANM78" s="262"/>
      <c r="ANN78" s="262"/>
      <c r="ANO78" s="262"/>
      <c r="ANP78" s="262"/>
      <c r="ANQ78" s="262"/>
      <c r="ANR78" s="262"/>
      <c r="ANS78" s="262"/>
      <c r="ANT78" s="262"/>
      <c r="ANU78" s="262"/>
      <c r="ANV78" s="262"/>
      <c r="ANW78" s="262"/>
      <c r="ANX78" s="262"/>
      <c r="ANY78" s="262"/>
      <c r="ANZ78" s="262"/>
      <c r="AOA78" s="262"/>
      <c r="AOB78" s="262"/>
      <c r="AOC78" s="262"/>
      <c r="AOD78" s="262"/>
      <c r="AOE78" s="262"/>
      <c r="AOF78" s="262"/>
      <c r="AOG78" s="262"/>
      <c r="AOH78" s="262"/>
      <c r="AOI78" s="262"/>
      <c r="AOJ78" s="262"/>
      <c r="AOK78" s="262"/>
      <c r="AOL78" s="262"/>
      <c r="AOM78" s="262"/>
      <c r="AON78" s="262"/>
      <c r="AOO78" s="262"/>
      <c r="AOP78" s="262"/>
      <c r="AOQ78" s="262"/>
      <c r="AOR78" s="262"/>
      <c r="AOS78" s="262"/>
      <c r="AOT78" s="262"/>
      <c r="AOU78" s="262"/>
      <c r="AOV78" s="262"/>
      <c r="AOW78" s="262"/>
      <c r="AOX78" s="262"/>
      <c r="AOY78" s="262"/>
      <c r="AOZ78" s="262"/>
      <c r="APA78" s="262"/>
      <c r="APB78" s="262"/>
      <c r="APC78" s="262"/>
      <c r="APD78" s="262"/>
      <c r="APE78" s="262"/>
      <c r="APF78" s="262"/>
      <c r="APG78" s="262"/>
      <c r="APH78" s="262"/>
      <c r="API78" s="262"/>
      <c r="APJ78" s="262"/>
      <c r="APK78" s="262"/>
      <c r="APL78" s="262"/>
      <c r="APM78" s="262"/>
      <c r="APN78" s="262"/>
      <c r="APO78" s="262"/>
      <c r="APP78" s="262"/>
      <c r="APQ78" s="262"/>
      <c r="APR78" s="262"/>
      <c r="APS78" s="262"/>
      <c r="APT78" s="262"/>
      <c r="APU78" s="262"/>
      <c r="APV78" s="262"/>
      <c r="APW78" s="262"/>
      <c r="APX78" s="262"/>
      <c r="APY78" s="262"/>
      <c r="APZ78" s="262"/>
      <c r="AQA78" s="262"/>
      <c r="AQB78" s="262"/>
      <c r="AQC78" s="262"/>
      <c r="AQD78" s="262"/>
      <c r="AQE78" s="262"/>
      <c r="AQF78" s="262"/>
      <c r="AQG78" s="262"/>
      <c r="AQH78" s="262"/>
      <c r="AQI78" s="262"/>
      <c r="AQJ78" s="262"/>
      <c r="AQK78" s="262"/>
      <c r="AQL78" s="262"/>
      <c r="AQM78" s="262"/>
      <c r="AQN78" s="262"/>
      <c r="AQO78" s="262"/>
      <c r="AQP78" s="262"/>
      <c r="AQQ78" s="262"/>
      <c r="AQR78" s="262"/>
      <c r="AQS78" s="262"/>
      <c r="AQT78" s="262"/>
      <c r="AQU78" s="262"/>
      <c r="AQV78" s="262"/>
      <c r="AQW78" s="262"/>
      <c r="AQX78" s="262"/>
      <c r="AQY78" s="262"/>
      <c r="AQZ78" s="262"/>
      <c r="ARA78" s="262"/>
      <c r="ARB78" s="262"/>
      <c r="ARC78" s="262"/>
      <c r="ARD78" s="262"/>
      <c r="ARE78" s="262"/>
      <c r="ARF78" s="262"/>
      <c r="ARG78" s="262"/>
      <c r="ARH78" s="262"/>
      <c r="ARI78" s="262"/>
      <c r="ARJ78" s="262"/>
      <c r="ARK78" s="262"/>
      <c r="ARL78" s="262"/>
      <c r="ARM78" s="262"/>
      <c r="ARN78" s="262"/>
      <c r="ARO78" s="262"/>
      <c r="ARP78" s="262"/>
      <c r="ARQ78" s="262"/>
      <c r="ARR78" s="262"/>
      <c r="ARS78" s="262"/>
      <c r="ART78" s="262"/>
      <c r="ARU78" s="262"/>
      <c r="ARV78" s="262"/>
      <c r="ARW78" s="262"/>
      <c r="ARX78" s="262"/>
      <c r="ARY78" s="262"/>
      <c r="ARZ78" s="262"/>
      <c r="ASA78" s="262"/>
      <c r="ASB78" s="262"/>
      <c r="ASC78" s="262"/>
      <c r="ASD78" s="262"/>
      <c r="ASE78" s="262"/>
      <c r="ASF78" s="262"/>
      <c r="ASG78" s="262"/>
      <c r="ASH78" s="262"/>
      <c r="ASI78" s="262"/>
      <c r="ASJ78" s="262"/>
      <c r="ASK78" s="262"/>
      <c r="ASL78" s="262"/>
      <c r="ASM78" s="262"/>
      <c r="ASN78" s="262"/>
      <c r="ASO78" s="262"/>
      <c r="ASP78" s="262"/>
      <c r="ASQ78" s="262"/>
      <c r="ASR78" s="262"/>
      <c r="ASS78" s="262"/>
      <c r="AST78" s="262"/>
      <c r="ASU78" s="262"/>
      <c r="ASV78" s="262"/>
      <c r="ASW78" s="262"/>
      <c r="ASX78" s="262"/>
      <c r="ASY78" s="262"/>
      <c r="ASZ78" s="262"/>
      <c r="ATA78" s="262"/>
      <c r="ATB78" s="262"/>
      <c r="ATC78" s="262"/>
      <c r="ATD78" s="262"/>
      <c r="ATE78" s="262"/>
      <c r="ATF78" s="262"/>
      <c r="ATG78" s="262"/>
      <c r="ATH78" s="262"/>
      <c r="ATI78" s="262"/>
      <c r="ATJ78" s="262"/>
      <c r="ATK78" s="262"/>
      <c r="ATL78" s="262"/>
      <c r="ATM78" s="262"/>
      <c r="ATN78" s="262"/>
      <c r="ATO78" s="262"/>
      <c r="ATP78" s="262"/>
      <c r="ATQ78" s="262"/>
      <c r="ATR78" s="262"/>
      <c r="ATS78" s="262"/>
      <c r="ATT78" s="262"/>
      <c r="ATU78" s="262"/>
      <c r="ATV78" s="262"/>
      <c r="ATW78" s="262"/>
      <c r="ATX78" s="262"/>
      <c r="ATY78" s="262"/>
      <c r="ATZ78" s="262"/>
      <c r="AUA78" s="262"/>
      <c r="AUB78" s="262"/>
      <c r="AUC78" s="262"/>
      <c r="AUD78" s="262"/>
      <c r="AUE78" s="262"/>
      <c r="AUF78" s="262"/>
      <c r="AUG78" s="262"/>
      <c r="AUH78" s="262"/>
      <c r="AUI78" s="262"/>
      <c r="AUJ78" s="262"/>
      <c r="AUK78" s="262"/>
      <c r="AUL78" s="262"/>
      <c r="AUM78" s="262"/>
      <c r="AUN78" s="262"/>
      <c r="AUO78" s="262"/>
      <c r="AUP78" s="262"/>
      <c r="AUQ78" s="262"/>
      <c r="AUR78" s="262"/>
      <c r="AUS78" s="262"/>
      <c r="AUT78" s="262"/>
      <c r="AUU78" s="262"/>
      <c r="AUV78" s="262"/>
      <c r="AUW78" s="262"/>
      <c r="AUX78" s="262"/>
      <c r="AUY78" s="262"/>
      <c r="AUZ78" s="262"/>
      <c r="AVA78" s="262"/>
      <c r="AVB78" s="262"/>
      <c r="AVC78" s="262"/>
      <c r="AVD78" s="262"/>
      <c r="AVE78" s="262"/>
      <c r="AVF78" s="262"/>
      <c r="AVG78" s="262"/>
      <c r="AVH78" s="262"/>
      <c r="AVI78" s="262"/>
      <c r="AVJ78" s="262"/>
      <c r="AVK78" s="262"/>
      <c r="AVL78" s="262"/>
      <c r="AVM78" s="262"/>
      <c r="AVN78" s="262"/>
      <c r="AVO78" s="262"/>
      <c r="AVP78" s="262"/>
      <c r="AVQ78" s="262"/>
      <c r="AVR78" s="262"/>
      <c r="AVS78" s="262"/>
      <c r="AVT78" s="262"/>
      <c r="AVU78" s="262"/>
      <c r="AVV78" s="262"/>
      <c r="AVW78" s="262"/>
      <c r="AVX78" s="262"/>
      <c r="AVY78" s="262"/>
      <c r="AVZ78" s="262"/>
      <c r="AWA78" s="262"/>
      <c r="AWB78" s="262"/>
      <c r="AWC78" s="262"/>
      <c r="AWD78" s="262"/>
      <c r="AWE78" s="262"/>
      <c r="AWF78" s="262"/>
      <c r="AWG78" s="262"/>
      <c r="AWH78" s="262"/>
      <c r="AWI78" s="262"/>
      <c r="AWJ78" s="262"/>
      <c r="AWK78" s="262"/>
      <c r="AWL78" s="262"/>
      <c r="AWM78" s="262"/>
      <c r="AWN78" s="262"/>
      <c r="AWO78" s="262"/>
      <c r="AWP78" s="262"/>
      <c r="AWQ78" s="262"/>
      <c r="AWR78" s="262"/>
      <c r="AWS78" s="262"/>
      <c r="AWT78" s="262"/>
      <c r="AWU78" s="262"/>
      <c r="AWV78" s="262"/>
      <c r="AWW78" s="262"/>
      <c r="AWX78" s="262"/>
      <c r="AWY78" s="262"/>
      <c r="AWZ78" s="262"/>
      <c r="AXA78" s="262"/>
      <c r="AXB78" s="262"/>
      <c r="AXC78" s="262"/>
      <c r="AXD78" s="262"/>
      <c r="AXE78" s="262"/>
      <c r="AXF78" s="262"/>
      <c r="AXG78" s="262"/>
      <c r="AXH78" s="262"/>
      <c r="AXI78" s="262"/>
      <c r="AXJ78" s="262"/>
      <c r="AXK78" s="262"/>
      <c r="AXL78" s="262"/>
      <c r="AXM78" s="262"/>
      <c r="AXN78" s="262"/>
      <c r="AXO78" s="262"/>
      <c r="AXP78" s="262"/>
      <c r="AXQ78" s="262"/>
      <c r="AXR78" s="262"/>
      <c r="AXS78" s="262"/>
      <c r="AXT78" s="262"/>
      <c r="AXU78" s="262"/>
      <c r="AXV78" s="262"/>
      <c r="AXW78" s="262"/>
      <c r="AXX78" s="262"/>
      <c r="AXY78" s="262"/>
      <c r="AXZ78" s="262"/>
      <c r="AYA78" s="262"/>
      <c r="AYB78" s="262"/>
      <c r="AYC78" s="262"/>
      <c r="AYD78" s="262"/>
      <c r="AYE78" s="262"/>
      <c r="AYF78" s="262"/>
      <c r="AYG78" s="262"/>
      <c r="AYH78" s="262"/>
      <c r="AYI78" s="262"/>
      <c r="AYJ78" s="262"/>
      <c r="AYK78" s="262"/>
      <c r="AYL78" s="262"/>
      <c r="AYM78" s="262"/>
      <c r="AYN78" s="262"/>
      <c r="AYO78" s="262"/>
      <c r="AYP78" s="262"/>
      <c r="AYQ78" s="262"/>
      <c r="AYR78" s="262"/>
      <c r="AYS78" s="262"/>
      <c r="AYT78" s="262"/>
      <c r="AYU78" s="262"/>
      <c r="AYV78" s="262"/>
      <c r="AYW78" s="262"/>
      <c r="AYX78" s="262"/>
      <c r="AYY78" s="262"/>
      <c r="AYZ78" s="262"/>
      <c r="AZA78" s="262"/>
      <c r="AZB78" s="262"/>
      <c r="AZC78" s="262"/>
      <c r="AZD78" s="262"/>
      <c r="AZE78" s="262"/>
      <c r="AZF78" s="262"/>
      <c r="AZG78" s="262"/>
      <c r="AZH78" s="262"/>
      <c r="AZI78" s="262"/>
      <c r="AZJ78" s="262"/>
      <c r="AZK78" s="262"/>
      <c r="AZL78" s="262"/>
      <c r="AZM78" s="262"/>
      <c r="AZN78" s="262"/>
      <c r="AZO78" s="262"/>
      <c r="AZP78" s="262"/>
      <c r="AZQ78" s="262"/>
      <c r="AZR78" s="262"/>
      <c r="AZS78" s="262"/>
      <c r="AZT78" s="262"/>
      <c r="AZU78" s="262"/>
      <c r="AZV78" s="262"/>
      <c r="AZW78" s="262"/>
      <c r="AZX78" s="262"/>
      <c r="AZY78" s="262"/>
      <c r="AZZ78" s="262"/>
      <c r="BAA78" s="262"/>
      <c r="BAB78" s="262"/>
      <c r="BAC78" s="262"/>
      <c r="BAD78" s="262"/>
      <c r="BAE78" s="262"/>
      <c r="BAF78" s="262"/>
      <c r="BAG78" s="262"/>
      <c r="BAH78" s="262"/>
      <c r="BAI78" s="262"/>
      <c r="BAJ78" s="262"/>
      <c r="BAK78" s="262"/>
      <c r="BAL78" s="262"/>
      <c r="BAM78" s="262"/>
      <c r="BAN78" s="262"/>
      <c r="BAO78" s="262"/>
      <c r="BAP78" s="262"/>
      <c r="BAQ78" s="262"/>
      <c r="BAR78" s="262"/>
      <c r="BAS78" s="262"/>
      <c r="BAT78" s="262"/>
      <c r="BAU78" s="262"/>
      <c r="BAV78" s="262"/>
      <c r="BAW78" s="262"/>
      <c r="BAX78" s="262"/>
      <c r="BAY78" s="262"/>
      <c r="BAZ78" s="262"/>
      <c r="BBA78" s="262"/>
      <c r="BBB78" s="262"/>
      <c r="BBC78" s="262"/>
      <c r="BBD78" s="262"/>
      <c r="BBE78" s="262"/>
      <c r="BBF78" s="262"/>
      <c r="BBG78" s="262"/>
      <c r="BBH78" s="262"/>
      <c r="BBI78" s="262"/>
      <c r="BBJ78" s="262"/>
      <c r="BBK78" s="262"/>
      <c r="BBL78" s="262"/>
      <c r="BBM78" s="262"/>
      <c r="BBN78" s="262"/>
      <c r="BBO78" s="262"/>
      <c r="BBP78" s="262"/>
      <c r="BBQ78" s="262"/>
      <c r="BBR78" s="262"/>
      <c r="BBS78" s="262"/>
      <c r="BBT78" s="262"/>
      <c r="BBU78" s="262"/>
      <c r="BBV78" s="262"/>
      <c r="BBW78" s="262"/>
      <c r="BBX78" s="262"/>
      <c r="BBY78" s="262"/>
      <c r="BBZ78" s="262"/>
      <c r="BCA78" s="262"/>
      <c r="BCB78" s="262"/>
      <c r="BCC78" s="262"/>
      <c r="BCD78" s="262"/>
      <c r="BCE78" s="262"/>
      <c r="BCF78" s="262"/>
      <c r="BCG78" s="262"/>
      <c r="BCH78" s="262"/>
      <c r="BCI78" s="262"/>
      <c r="BCJ78" s="262"/>
      <c r="BCK78" s="262"/>
      <c r="BCL78" s="262"/>
      <c r="BCM78" s="262"/>
      <c r="BCN78" s="262"/>
      <c r="BCO78" s="262"/>
      <c r="BCP78" s="262"/>
      <c r="BCQ78" s="262"/>
      <c r="BCR78" s="262"/>
      <c r="BCS78" s="262"/>
      <c r="BCT78" s="262"/>
      <c r="BCU78" s="262"/>
      <c r="BCV78" s="262"/>
      <c r="BCW78" s="262"/>
      <c r="BCX78" s="262"/>
      <c r="BCY78" s="262"/>
      <c r="BCZ78" s="262"/>
      <c r="BDA78" s="262"/>
      <c r="BDB78" s="262"/>
      <c r="BDC78" s="262"/>
      <c r="BDD78" s="262"/>
      <c r="BDE78" s="262"/>
      <c r="BDF78" s="262"/>
      <c r="BDG78" s="262"/>
      <c r="BDH78" s="262"/>
      <c r="BDI78" s="262"/>
      <c r="BDJ78" s="262"/>
      <c r="BDK78" s="262"/>
      <c r="BDL78" s="262"/>
      <c r="BDM78" s="262"/>
      <c r="BDN78" s="262"/>
      <c r="BDO78" s="262"/>
      <c r="BDP78" s="262"/>
      <c r="BDQ78" s="262"/>
      <c r="BDR78" s="262"/>
      <c r="BDS78" s="262"/>
      <c r="BDT78" s="262"/>
      <c r="BDU78" s="262"/>
      <c r="BDV78" s="262"/>
      <c r="BDW78" s="262"/>
      <c r="BDX78" s="262"/>
      <c r="BDY78" s="262"/>
      <c r="BDZ78" s="262"/>
      <c r="BEA78" s="262"/>
      <c r="BEB78" s="262"/>
      <c r="BEC78" s="262"/>
      <c r="BED78" s="262"/>
      <c r="BEE78" s="262"/>
      <c r="BEF78" s="262"/>
      <c r="BEG78" s="262"/>
      <c r="BEH78" s="262"/>
      <c r="BEI78" s="262"/>
      <c r="BEJ78" s="262"/>
      <c r="BEK78" s="262"/>
      <c r="BEL78" s="262"/>
      <c r="BEM78" s="262"/>
      <c r="BEN78" s="262"/>
      <c r="BEO78" s="262"/>
      <c r="BEP78" s="262"/>
      <c r="BEQ78" s="262"/>
      <c r="BER78" s="262"/>
      <c r="BES78" s="262"/>
      <c r="BET78" s="262"/>
      <c r="BEU78" s="262"/>
      <c r="BEV78" s="262"/>
      <c r="BEW78" s="262"/>
      <c r="BEX78" s="262"/>
      <c r="BEY78" s="262"/>
      <c r="BEZ78" s="262"/>
      <c r="BFA78" s="262"/>
      <c r="BFB78" s="262"/>
      <c r="BFC78" s="262"/>
      <c r="BFD78" s="262"/>
      <c r="BFE78" s="262"/>
      <c r="BFF78" s="262"/>
      <c r="BFG78" s="262"/>
      <c r="BFH78" s="262"/>
      <c r="BFI78" s="262"/>
      <c r="BFJ78" s="262"/>
      <c r="BFK78" s="262"/>
      <c r="BFL78" s="262"/>
      <c r="BFM78" s="262"/>
      <c r="BFN78" s="262"/>
      <c r="BFO78" s="262"/>
      <c r="BFP78" s="262"/>
      <c r="BFQ78" s="262"/>
      <c r="BFR78" s="262"/>
      <c r="BFS78" s="262"/>
      <c r="BFT78" s="262"/>
      <c r="BFU78" s="262"/>
      <c r="BFV78" s="262"/>
      <c r="BFW78" s="262"/>
      <c r="BFX78" s="262"/>
      <c r="BFY78" s="262"/>
      <c r="BFZ78" s="262"/>
      <c r="BGA78" s="262"/>
      <c r="BGB78" s="262"/>
      <c r="BGC78" s="262"/>
      <c r="BGD78" s="262"/>
      <c r="BGE78" s="262"/>
      <c r="BGF78" s="262"/>
      <c r="BGG78" s="262"/>
      <c r="BGH78" s="262"/>
      <c r="BGI78" s="262"/>
      <c r="BGJ78" s="262"/>
      <c r="BGK78" s="262"/>
      <c r="BGL78" s="262"/>
      <c r="BGM78" s="262"/>
      <c r="BGN78" s="262"/>
      <c r="BGO78" s="262"/>
      <c r="BGP78" s="262"/>
      <c r="BGQ78" s="262"/>
      <c r="BGR78" s="262"/>
      <c r="BGS78" s="262"/>
      <c r="BGT78" s="262"/>
      <c r="BGU78" s="262"/>
      <c r="BGV78" s="262"/>
      <c r="BGW78" s="262"/>
      <c r="BGX78" s="262"/>
      <c r="BGY78" s="262"/>
      <c r="BGZ78" s="262"/>
      <c r="BHA78" s="262"/>
      <c r="BHB78" s="262"/>
      <c r="BHC78" s="262"/>
      <c r="BHD78" s="262"/>
      <c r="BHE78" s="262"/>
      <c r="BHF78" s="262"/>
      <c r="BHG78" s="262"/>
      <c r="BHH78" s="262"/>
      <c r="BHI78" s="262"/>
      <c r="BHJ78" s="262"/>
      <c r="BHK78" s="262"/>
      <c r="BHL78" s="262"/>
      <c r="BHM78" s="262"/>
      <c r="BHN78" s="262"/>
      <c r="BHO78" s="262"/>
      <c r="BHP78" s="262"/>
      <c r="BHQ78" s="262"/>
      <c r="BHR78" s="262"/>
      <c r="BHS78" s="262"/>
      <c r="BHT78" s="262"/>
      <c r="BHU78" s="262"/>
      <c r="BHV78" s="262"/>
      <c r="BHW78" s="262"/>
      <c r="BHX78" s="262"/>
      <c r="BHY78" s="262"/>
      <c r="BHZ78" s="262"/>
      <c r="BIA78" s="262"/>
      <c r="BIB78" s="262"/>
      <c r="BIC78" s="262"/>
      <c r="BID78" s="262"/>
      <c r="BIE78" s="262"/>
      <c r="BIF78" s="262"/>
      <c r="BIG78" s="262"/>
      <c r="BIH78" s="262"/>
      <c r="BII78" s="262"/>
      <c r="BIJ78" s="262"/>
      <c r="BIK78" s="262"/>
      <c r="BIL78" s="262"/>
      <c r="BIM78" s="262"/>
      <c r="BIN78" s="262"/>
      <c r="BIO78" s="262"/>
      <c r="BIP78" s="262"/>
      <c r="BIQ78" s="262"/>
      <c r="BIR78" s="262"/>
      <c r="BIS78" s="262"/>
      <c r="BIT78" s="262"/>
      <c r="BIU78" s="262"/>
      <c r="BIV78" s="262"/>
      <c r="BIW78" s="262"/>
      <c r="BIX78" s="262"/>
      <c r="BIY78" s="262"/>
      <c r="BIZ78" s="262"/>
      <c r="BJA78" s="262"/>
      <c r="BJB78" s="262"/>
      <c r="BJC78" s="262"/>
      <c r="BJD78" s="262"/>
      <c r="BJE78" s="262"/>
      <c r="BJF78" s="262"/>
      <c r="BJG78" s="262"/>
      <c r="BJH78" s="262"/>
      <c r="BJI78" s="262"/>
      <c r="BJJ78" s="262"/>
      <c r="BJK78" s="262"/>
      <c r="BJL78" s="262"/>
      <c r="BJM78" s="262"/>
      <c r="BJN78" s="262"/>
      <c r="BJO78" s="262"/>
      <c r="BJP78" s="262"/>
      <c r="BJQ78" s="262"/>
      <c r="BJR78" s="262"/>
      <c r="BJS78" s="262"/>
      <c r="BJT78" s="262"/>
      <c r="BJU78" s="262"/>
      <c r="BJV78" s="262"/>
      <c r="BJW78" s="262"/>
      <c r="BJX78" s="262"/>
      <c r="BJY78" s="262"/>
      <c r="BJZ78" s="262"/>
      <c r="BKA78" s="262"/>
      <c r="BKB78" s="262"/>
      <c r="BKC78" s="262"/>
      <c r="BKD78" s="262"/>
      <c r="BKE78" s="262"/>
      <c r="BKF78" s="262"/>
      <c r="BKG78" s="262"/>
      <c r="BKH78" s="262"/>
      <c r="BKI78" s="262"/>
      <c r="BKJ78" s="262"/>
      <c r="BKK78" s="262"/>
      <c r="BKL78" s="262"/>
      <c r="BKM78" s="262"/>
      <c r="BKN78" s="262"/>
      <c r="BKO78" s="262"/>
      <c r="BKP78" s="262"/>
      <c r="BKQ78" s="262"/>
      <c r="BKR78" s="262"/>
      <c r="BKS78" s="262"/>
      <c r="BKT78" s="262"/>
      <c r="BKU78" s="262"/>
      <c r="BKV78" s="262"/>
      <c r="BKW78" s="262"/>
      <c r="BKX78" s="262"/>
      <c r="BKY78" s="262"/>
      <c r="BKZ78" s="262"/>
      <c r="BLA78" s="262"/>
      <c r="BLB78" s="262"/>
      <c r="BLC78" s="262"/>
      <c r="BLD78" s="262"/>
      <c r="BLE78" s="262"/>
      <c r="BLF78" s="262"/>
      <c r="BLG78" s="262"/>
      <c r="BLH78" s="262"/>
      <c r="BLI78" s="262"/>
      <c r="BLJ78" s="262"/>
      <c r="BLK78" s="262"/>
      <c r="BLL78" s="262"/>
      <c r="BLM78" s="262"/>
      <c r="BLN78" s="262"/>
      <c r="BLO78" s="262"/>
      <c r="BLP78" s="262"/>
      <c r="BLQ78" s="262"/>
      <c r="BLR78" s="262"/>
      <c r="BLS78" s="262"/>
      <c r="BLT78" s="262"/>
      <c r="BLU78" s="262"/>
      <c r="BLV78" s="262"/>
      <c r="BLW78" s="262"/>
      <c r="BLX78" s="262"/>
      <c r="BLY78" s="262"/>
      <c r="BLZ78" s="262"/>
      <c r="BMA78" s="262"/>
      <c r="BMB78" s="262"/>
      <c r="BMC78" s="262"/>
      <c r="BMD78" s="262"/>
      <c r="BME78" s="262"/>
      <c r="BMF78" s="262"/>
      <c r="BMG78" s="262"/>
      <c r="BMH78" s="262"/>
      <c r="BMI78" s="262"/>
      <c r="BMJ78" s="262"/>
      <c r="BMK78" s="262"/>
      <c r="BML78" s="262"/>
      <c r="BMM78" s="262"/>
      <c r="BMN78" s="262"/>
      <c r="BMO78" s="262"/>
      <c r="BMP78" s="262"/>
      <c r="BMQ78" s="262"/>
      <c r="BMR78" s="262"/>
      <c r="BMS78" s="262"/>
      <c r="BMT78" s="262"/>
      <c r="BMU78" s="262"/>
      <c r="BMV78" s="262"/>
      <c r="BMW78" s="262"/>
      <c r="BMX78" s="262"/>
      <c r="BMY78" s="262"/>
      <c r="BMZ78" s="262"/>
      <c r="BNA78" s="262"/>
      <c r="BNB78" s="262"/>
      <c r="BNC78" s="262"/>
      <c r="BND78" s="262"/>
      <c r="BNE78" s="262"/>
      <c r="BNF78" s="262"/>
      <c r="BNG78" s="262"/>
      <c r="BNH78" s="262"/>
      <c r="BNI78" s="262"/>
      <c r="BNJ78" s="262"/>
      <c r="BNK78" s="262"/>
      <c r="BNL78" s="262"/>
      <c r="BNM78" s="262"/>
      <c r="BNN78" s="262"/>
      <c r="BNO78" s="262"/>
      <c r="BNP78" s="262"/>
      <c r="BNQ78" s="262"/>
      <c r="BNR78" s="262"/>
      <c r="BNS78" s="262"/>
      <c r="BNT78" s="262"/>
      <c r="BNU78" s="262"/>
      <c r="BNV78" s="262"/>
      <c r="BNW78" s="262"/>
      <c r="BNX78" s="262"/>
      <c r="BNY78" s="262"/>
      <c r="BNZ78" s="262"/>
      <c r="BOA78" s="262"/>
      <c r="BOB78" s="262"/>
      <c r="BOC78" s="262"/>
      <c r="BOD78" s="262"/>
      <c r="BOE78" s="262"/>
      <c r="BOF78" s="262"/>
      <c r="BOG78" s="262"/>
      <c r="BOH78" s="262"/>
      <c r="BOI78" s="262"/>
      <c r="BOJ78" s="262"/>
      <c r="BOK78" s="262"/>
      <c r="BOL78" s="262"/>
      <c r="BOM78" s="262"/>
      <c r="BON78" s="262"/>
      <c r="BOO78" s="262"/>
      <c r="BOP78" s="262"/>
      <c r="BOQ78" s="262"/>
      <c r="BOR78" s="262"/>
      <c r="BOS78" s="262"/>
      <c r="BOT78" s="262"/>
      <c r="BOU78" s="262"/>
      <c r="BOV78" s="262"/>
      <c r="BOW78" s="262"/>
      <c r="BOX78" s="262"/>
      <c r="BOY78" s="262"/>
      <c r="BOZ78" s="262"/>
      <c r="BPA78" s="262"/>
      <c r="BPB78" s="262"/>
      <c r="BPC78" s="262"/>
      <c r="BPD78" s="262"/>
      <c r="BPE78" s="262"/>
      <c r="BPF78" s="262"/>
      <c r="BPG78" s="262"/>
      <c r="BPH78" s="262"/>
      <c r="BPI78" s="262"/>
      <c r="BPJ78" s="262"/>
      <c r="BPK78" s="262"/>
      <c r="BPL78" s="262"/>
      <c r="BPM78" s="262"/>
      <c r="BPN78" s="262"/>
      <c r="BPO78" s="262"/>
      <c r="BPP78" s="262"/>
      <c r="BPQ78" s="262"/>
      <c r="BPR78" s="262"/>
      <c r="BPS78" s="262"/>
      <c r="BPT78" s="262"/>
      <c r="BPU78" s="262"/>
      <c r="BPV78" s="262"/>
      <c r="BPW78" s="262"/>
      <c r="BPX78" s="262"/>
      <c r="BPY78" s="262"/>
      <c r="BPZ78" s="262"/>
      <c r="BQA78" s="262"/>
      <c r="BQB78" s="262"/>
      <c r="BQC78" s="262"/>
      <c r="BQD78" s="262"/>
      <c r="BQE78" s="262"/>
      <c r="BQF78" s="262"/>
      <c r="BQG78" s="262"/>
      <c r="BQH78" s="262"/>
      <c r="BQI78" s="262"/>
      <c r="BQJ78" s="262"/>
      <c r="BQK78" s="262"/>
      <c r="BQL78" s="262"/>
      <c r="BQM78" s="262"/>
      <c r="BQN78" s="262"/>
      <c r="BQO78" s="262"/>
      <c r="BQP78" s="262"/>
      <c r="BQQ78" s="262"/>
      <c r="BQR78" s="262"/>
      <c r="BQS78" s="262"/>
      <c r="BQT78" s="262"/>
      <c r="BQU78" s="262"/>
      <c r="BQV78" s="262"/>
      <c r="BQW78" s="262"/>
      <c r="BQX78" s="262"/>
      <c r="BQY78" s="262"/>
      <c r="BQZ78" s="262"/>
      <c r="BRA78" s="262"/>
      <c r="BRB78" s="262"/>
      <c r="BRC78" s="262"/>
      <c r="BRD78" s="262"/>
      <c r="BRE78" s="262"/>
      <c r="BRF78" s="262"/>
      <c r="BRG78" s="262"/>
      <c r="BRH78" s="262"/>
      <c r="BRI78" s="262"/>
      <c r="BRJ78" s="262"/>
      <c r="BRK78" s="262"/>
      <c r="BRL78" s="262"/>
      <c r="BRM78" s="262"/>
      <c r="BRN78" s="262"/>
      <c r="BRO78" s="262"/>
      <c r="BRP78" s="262"/>
      <c r="BRQ78" s="262"/>
      <c r="BRR78" s="262"/>
      <c r="BRS78" s="262"/>
      <c r="BRT78" s="262"/>
      <c r="BRU78" s="262"/>
      <c r="BRV78" s="262"/>
      <c r="BRW78" s="262"/>
      <c r="BRX78" s="262"/>
      <c r="BRY78" s="262"/>
      <c r="BRZ78" s="262"/>
      <c r="BSA78" s="262"/>
      <c r="BSB78" s="262"/>
      <c r="BSC78" s="262"/>
      <c r="BSD78" s="262"/>
      <c r="BSE78" s="262"/>
      <c r="BSF78" s="262"/>
      <c r="BSG78" s="262"/>
      <c r="BSH78" s="262"/>
      <c r="BSI78" s="262"/>
      <c r="BSJ78" s="262"/>
      <c r="BSK78" s="262"/>
      <c r="BSL78" s="262"/>
      <c r="BSM78" s="262"/>
      <c r="BSN78" s="262"/>
      <c r="BSO78" s="262"/>
      <c r="BSP78" s="262"/>
      <c r="BSQ78" s="262"/>
      <c r="BSR78" s="262"/>
      <c r="BSS78" s="262"/>
      <c r="BST78" s="262"/>
      <c r="BSU78" s="262"/>
      <c r="BSV78" s="262"/>
      <c r="BSW78" s="262"/>
      <c r="BSX78" s="262"/>
      <c r="BSY78" s="262"/>
      <c r="BSZ78" s="262"/>
      <c r="BTA78" s="262"/>
      <c r="BTB78" s="262"/>
      <c r="BTC78" s="262"/>
      <c r="BTD78" s="262"/>
      <c r="BTE78" s="262"/>
      <c r="BTF78" s="262"/>
      <c r="BTG78" s="262"/>
      <c r="BTH78" s="262"/>
      <c r="BTI78" s="262"/>
      <c r="BTJ78" s="262"/>
      <c r="BTK78" s="262"/>
      <c r="BTL78" s="262"/>
      <c r="BTM78" s="262"/>
      <c r="BTN78" s="262"/>
      <c r="BTO78" s="262"/>
      <c r="BTP78" s="262"/>
      <c r="BTQ78" s="262"/>
      <c r="BTR78" s="262"/>
      <c r="BTS78" s="262"/>
      <c r="BTT78" s="262"/>
      <c r="BTU78" s="262"/>
      <c r="BTV78" s="262"/>
      <c r="BTW78" s="262"/>
      <c r="BTX78" s="262"/>
      <c r="BTY78" s="262"/>
      <c r="BTZ78" s="262"/>
      <c r="BUA78" s="262"/>
      <c r="BUB78" s="262"/>
      <c r="BUC78" s="262"/>
      <c r="BUD78" s="262"/>
      <c r="BUE78" s="262"/>
      <c r="BUF78" s="262"/>
      <c r="BUG78" s="262"/>
      <c r="BUH78" s="262"/>
      <c r="BUI78" s="262"/>
      <c r="BUJ78" s="262"/>
      <c r="BUK78" s="262"/>
      <c r="BUL78" s="262"/>
      <c r="BUM78" s="262"/>
      <c r="BUN78" s="262"/>
      <c r="BUO78" s="262"/>
      <c r="BUP78" s="262"/>
      <c r="BUQ78" s="262"/>
      <c r="BUR78" s="262"/>
      <c r="BUS78" s="262"/>
      <c r="BUT78" s="262"/>
      <c r="BUU78" s="262"/>
      <c r="BUV78" s="262"/>
      <c r="BUW78" s="262"/>
      <c r="BUX78" s="262"/>
      <c r="BUY78" s="262"/>
      <c r="BUZ78" s="262"/>
      <c r="BVA78" s="262"/>
      <c r="BVB78" s="262"/>
      <c r="BVC78" s="262"/>
      <c r="BVD78" s="262"/>
      <c r="BVE78" s="262"/>
      <c r="BVF78" s="262"/>
      <c r="BVG78" s="262"/>
      <c r="BVH78" s="262"/>
      <c r="BVI78" s="262"/>
      <c r="BVJ78" s="262"/>
      <c r="BVK78" s="262"/>
      <c r="BVL78" s="262"/>
      <c r="BVM78" s="262"/>
      <c r="BVN78" s="262"/>
      <c r="BVO78" s="262"/>
      <c r="BVP78" s="262"/>
      <c r="BVQ78" s="262"/>
      <c r="BVR78" s="262"/>
      <c r="BVS78" s="262"/>
      <c r="BVT78" s="262"/>
      <c r="BVU78" s="262"/>
      <c r="BVV78" s="262"/>
      <c r="BVW78" s="262"/>
      <c r="BVX78" s="262"/>
      <c r="BVY78" s="262"/>
      <c r="BVZ78" s="262"/>
      <c r="BWA78" s="262"/>
      <c r="BWB78" s="262"/>
      <c r="BWC78" s="262"/>
      <c r="BWD78" s="262"/>
      <c r="BWE78" s="262"/>
      <c r="BWF78" s="262"/>
      <c r="BWG78" s="262"/>
      <c r="BWH78" s="262"/>
      <c r="BWI78" s="262"/>
      <c r="BWJ78" s="262"/>
      <c r="BWK78" s="262"/>
      <c r="BWL78" s="262"/>
      <c r="BWM78" s="262"/>
      <c r="BWN78" s="262"/>
      <c r="BWO78" s="262"/>
      <c r="BWP78" s="262"/>
      <c r="BWQ78" s="262"/>
      <c r="BWR78" s="262"/>
      <c r="BWS78" s="262"/>
      <c r="BWT78" s="262"/>
      <c r="BWU78" s="262"/>
      <c r="BWV78" s="262"/>
      <c r="BWW78" s="262"/>
      <c r="BWX78" s="262"/>
      <c r="BWY78" s="262"/>
      <c r="BWZ78" s="262"/>
      <c r="BXA78" s="262"/>
      <c r="BXB78" s="262"/>
      <c r="BXC78" s="262"/>
      <c r="BXD78" s="262"/>
      <c r="BXE78" s="262"/>
      <c r="BXF78" s="262"/>
      <c r="BXG78" s="262"/>
      <c r="BXH78" s="262"/>
      <c r="BXI78" s="262"/>
      <c r="BXJ78" s="262"/>
      <c r="BXK78" s="262"/>
      <c r="BXL78" s="262"/>
      <c r="BXM78" s="262"/>
      <c r="BXN78" s="262"/>
      <c r="BXO78" s="262"/>
      <c r="BXP78" s="262"/>
      <c r="BXQ78" s="262"/>
      <c r="BXR78" s="262"/>
      <c r="BXS78" s="262"/>
      <c r="BXT78" s="262"/>
      <c r="BXU78" s="262"/>
      <c r="BXV78" s="262"/>
      <c r="BXW78" s="262"/>
      <c r="BXX78" s="262"/>
      <c r="BXY78" s="262"/>
      <c r="BXZ78" s="262"/>
      <c r="BYA78" s="262"/>
      <c r="BYB78" s="262"/>
      <c r="BYC78" s="262"/>
      <c r="BYD78" s="262"/>
      <c r="BYE78" s="262"/>
      <c r="BYF78" s="262"/>
      <c r="BYG78" s="262"/>
      <c r="BYH78" s="262"/>
      <c r="BYI78" s="262"/>
      <c r="BYJ78" s="262"/>
      <c r="BYK78" s="262"/>
      <c r="BYL78" s="262"/>
      <c r="BYM78" s="262"/>
      <c r="BYN78" s="262"/>
      <c r="BYO78" s="262"/>
      <c r="BYP78" s="262"/>
      <c r="BYQ78" s="262"/>
      <c r="BYR78" s="262"/>
      <c r="BYS78" s="262"/>
      <c r="BYT78" s="262"/>
      <c r="BYU78" s="262"/>
      <c r="BYV78" s="262"/>
      <c r="BYW78" s="262"/>
      <c r="BYX78" s="262"/>
      <c r="BYY78" s="262"/>
      <c r="BYZ78" s="262"/>
      <c r="BZA78" s="262"/>
      <c r="BZB78" s="262"/>
      <c r="BZC78" s="262"/>
      <c r="BZD78" s="262"/>
      <c r="BZE78" s="262"/>
      <c r="BZF78" s="262"/>
      <c r="BZG78" s="262"/>
      <c r="BZH78" s="262"/>
      <c r="BZI78" s="262"/>
      <c r="BZJ78" s="262"/>
      <c r="BZK78" s="262"/>
      <c r="BZL78" s="262"/>
      <c r="BZM78" s="262"/>
      <c r="BZN78" s="262"/>
      <c r="BZO78" s="262"/>
      <c r="BZP78" s="262"/>
      <c r="BZQ78" s="262"/>
      <c r="BZR78" s="262"/>
      <c r="BZS78" s="262"/>
      <c r="BZT78" s="262"/>
      <c r="BZU78" s="262"/>
      <c r="BZV78" s="262"/>
      <c r="BZW78" s="262"/>
      <c r="BZX78" s="262"/>
      <c r="BZY78" s="262"/>
      <c r="BZZ78" s="262"/>
      <c r="CAA78" s="262"/>
      <c r="CAB78" s="262"/>
      <c r="CAC78" s="262"/>
      <c r="CAD78" s="262"/>
      <c r="CAE78" s="262"/>
      <c r="CAF78" s="262"/>
      <c r="CAG78" s="262"/>
      <c r="CAH78" s="262"/>
      <c r="CAI78" s="262"/>
      <c r="CAJ78" s="262"/>
      <c r="CAK78" s="262"/>
      <c r="CAL78" s="262"/>
      <c r="CAM78" s="262"/>
      <c r="CAN78" s="262"/>
      <c r="CAO78" s="262"/>
      <c r="CAP78" s="262"/>
      <c r="CAQ78" s="262"/>
      <c r="CAR78" s="262"/>
      <c r="CAS78" s="262"/>
      <c r="CAT78" s="262"/>
      <c r="CAU78" s="262"/>
      <c r="CAV78" s="262"/>
      <c r="CAW78" s="262"/>
      <c r="CAX78" s="262"/>
      <c r="CAY78" s="262"/>
      <c r="CAZ78" s="262"/>
      <c r="CBA78" s="262"/>
      <c r="CBB78" s="262"/>
      <c r="CBC78" s="262"/>
      <c r="CBD78" s="262"/>
      <c r="CBE78" s="262"/>
      <c r="CBF78" s="262"/>
      <c r="CBG78" s="262"/>
      <c r="CBH78" s="262"/>
      <c r="CBI78" s="262"/>
      <c r="CBJ78" s="262"/>
      <c r="CBK78" s="262"/>
      <c r="CBL78" s="262"/>
      <c r="CBM78" s="262"/>
      <c r="CBN78" s="262"/>
      <c r="CBO78" s="262"/>
      <c r="CBP78" s="262"/>
      <c r="CBQ78" s="262"/>
      <c r="CBR78" s="262"/>
      <c r="CBS78" s="262"/>
      <c r="CBT78" s="262"/>
      <c r="CBU78" s="262"/>
      <c r="CBV78" s="262"/>
      <c r="CBW78" s="262"/>
      <c r="CBX78" s="262"/>
      <c r="CBY78" s="262"/>
      <c r="CBZ78" s="262"/>
      <c r="CCA78" s="262"/>
      <c r="CCB78" s="262"/>
      <c r="CCC78" s="262"/>
      <c r="CCD78" s="262"/>
      <c r="CCE78" s="262"/>
      <c r="CCF78" s="262"/>
      <c r="CCG78" s="262"/>
      <c r="CCH78" s="262"/>
      <c r="CCI78" s="262"/>
      <c r="CCJ78" s="262"/>
      <c r="CCK78" s="262"/>
      <c r="CCL78" s="262"/>
      <c r="CCM78" s="262"/>
      <c r="CCN78" s="262"/>
      <c r="CCO78" s="262"/>
      <c r="CCP78" s="262"/>
      <c r="CCQ78" s="262"/>
      <c r="CCR78" s="262"/>
      <c r="CCS78" s="262"/>
      <c r="CCT78" s="262"/>
      <c r="CCU78" s="262"/>
      <c r="CCV78" s="262"/>
      <c r="CCW78" s="262"/>
      <c r="CCX78" s="262"/>
      <c r="CCY78" s="262"/>
      <c r="CCZ78" s="262"/>
      <c r="CDA78" s="262"/>
      <c r="CDB78" s="262"/>
      <c r="CDC78" s="262"/>
      <c r="CDD78" s="262"/>
      <c r="CDE78" s="262"/>
      <c r="CDF78" s="262"/>
      <c r="CDG78" s="262"/>
      <c r="CDH78" s="262"/>
      <c r="CDI78" s="262"/>
      <c r="CDJ78" s="262"/>
      <c r="CDK78" s="262"/>
      <c r="CDL78" s="262"/>
      <c r="CDM78" s="262"/>
      <c r="CDN78" s="262"/>
      <c r="CDO78" s="262"/>
      <c r="CDP78" s="262"/>
      <c r="CDQ78" s="262"/>
      <c r="CDR78" s="262"/>
      <c r="CDS78" s="262"/>
      <c r="CDT78" s="262"/>
      <c r="CDU78" s="262"/>
      <c r="CDV78" s="262"/>
      <c r="CDW78" s="262"/>
      <c r="CDX78" s="262"/>
      <c r="CDY78" s="262"/>
      <c r="CDZ78" s="262"/>
      <c r="CEA78" s="262"/>
      <c r="CEB78" s="262"/>
      <c r="CEC78" s="262"/>
      <c r="CED78" s="262"/>
      <c r="CEE78" s="262"/>
      <c r="CEF78" s="262"/>
      <c r="CEG78" s="262"/>
      <c r="CEH78" s="262"/>
      <c r="CEI78" s="262"/>
      <c r="CEJ78" s="262"/>
      <c r="CEK78" s="262"/>
      <c r="CEL78" s="262"/>
      <c r="CEM78" s="262"/>
      <c r="CEN78" s="262"/>
      <c r="CEO78" s="262"/>
      <c r="CEP78" s="262"/>
      <c r="CEQ78" s="262"/>
      <c r="CER78" s="262"/>
      <c r="CES78" s="262"/>
      <c r="CET78" s="262"/>
      <c r="CEU78" s="262"/>
      <c r="CEV78" s="262"/>
      <c r="CEW78" s="262"/>
      <c r="CEX78" s="262"/>
      <c r="CEY78" s="262"/>
      <c r="CEZ78" s="262"/>
      <c r="CFA78" s="262"/>
      <c r="CFB78" s="262"/>
      <c r="CFC78" s="262"/>
      <c r="CFD78" s="262"/>
      <c r="CFE78" s="262"/>
      <c r="CFF78" s="262"/>
      <c r="CFG78" s="262"/>
      <c r="CFH78" s="262"/>
      <c r="CFI78" s="262"/>
      <c r="CFJ78" s="262"/>
      <c r="CFK78" s="262"/>
      <c r="CFL78" s="262"/>
      <c r="CFM78" s="262"/>
      <c r="CFN78" s="262"/>
      <c r="CFO78" s="262"/>
      <c r="CFP78" s="262"/>
      <c r="CFQ78" s="262"/>
      <c r="CFR78" s="262"/>
      <c r="CFS78" s="262"/>
      <c r="CFT78" s="262"/>
      <c r="CFU78" s="262"/>
      <c r="CFV78" s="262"/>
      <c r="CFW78" s="262"/>
      <c r="CFX78" s="262"/>
      <c r="CFY78" s="262"/>
      <c r="CFZ78" s="262"/>
      <c r="CGA78" s="262"/>
      <c r="CGB78" s="262"/>
      <c r="CGC78" s="262"/>
      <c r="CGD78" s="262"/>
      <c r="CGE78" s="262"/>
      <c r="CGF78" s="262"/>
      <c r="CGG78" s="262"/>
      <c r="CGH78" s="262"/>
      <c r="CGI78" s="262"/>
      <c r="CGJ78" s="262"/>
      <c r="CGK78" s="262"/>
      <c r="CGL78" s="262"/>
      <c r="CGM78" s="262"/>
      <c r="CGN78" s="262"/>
      <c r="CGO78" s="262"/>
      <c r="CGP78" s="262"/>
      <c r="CGQ78" s="262"/>
      <c r="CGR78" s="262"/>
      <c r="CGS78" s="262"/>
      <c r="CGT78" s="262"/>
      <c r="CGU78" s="262"/>
      <c r="CGV78" s="262"/>
      <c r="CGW78" s="262"/>
      <c r="CGX78" s="262"/>
      <c r="CGY78" s="262"/>
      <c r="CGZ78" s="262"/>
      <c r="CHA78" s="262"/>
      <c r="CHB78" s="262"/>
      <c r="CHC78" s="262"/>
      <c r="CHD78" s="262"/>
      <c r="CHE78" s="262"/>
      <c r="CHF78" s="262"/>
      <c r="CHG78" s="262"/>
      <c r="CHH78" s="262"/>
      <c r="CHI78" s="262"/>
      <c r="CHJ78" s="262"/>
      <c r="CHK78" s="262"/>
      <c r="CHL78" s="262"/>
      <c r="CHM78" s="262"/>
      <c r="CHN78" s="262"/>
      <c r="CHO78" s="262"/>
      <c r="CHP78" s="262"/>
      <c r="CHQ78" s="262"/>
      <c r="CHR78" s="262"/>
      <c r="CHS78" s="262"/>
      <c r="CHT78" s="262"/>
      <c r="CHU78" s="262"/>
      <c r="CHV78" s="262"/>
      <c r="CHW78" s="262"/>
      <c r="CHX78" s="262"/>
      <c r="CHY78" s="262"/>
      <c r="CHZ78" s="262"/>
      <c r="CIA78" s="262"/>
      <c r="CIB78" s="262"/>
      <c r="CIC78" s="262"/>
      <c r="CID78" s="262"/>
      <c r="CIE78" s="262"/>
      <c r="CIF78" s="262"/>
      <c r="CIG78" s="262"/>
      <c r="CIH78" s="262"/>
      <c r="CII78" s="262"/>
      <c r="CIJ78" s="262"/>
      <c r="CIK78" s="262"/>
      <c r="CIL78" s="262"/>
      <c r="CIM78" s="262"/>
      <c r="CIN78" s="262"/>
      <c r="CIO78" s="262"/>
      <c r="CIP78" s="262"/>
      <c r="CIQ78" s="262"/>
      <c r="CIR78" s="262"/>
      <c r="CIS78" s="262"/>
      <c r="CIT78" s="262"/>
      <c r="CIU78" s="262"/>
      <c r="CIV78" s="262"/>
      <c r="CIW78" s="262"/>
      <c r="CIX78" s="262"/>
      <c r="CIY78" s="262"/>
      <c r="CIZ78" s="262"/>
      <c r="CJA78" s="262"/>
      <c r="CJB78" s="262"/>
      <c r="CJC78" s="262"/>
      <c r="CJD78" s="262"/>
      <c r="CJE78" s="262"/>
      <c r="CJF78" s="262"/>
      <c r="CJG78" s="262"/>
      <c r="CJH78" s="262"/>
      <c r="CJI78" s="262"/>
      <c r="CJJ78" s="262"/>
      <c r="CJK78" s="262"/>
      <c r="CJL78" s="262"/>
      <c r="CJM78" s="262"/>
      <c r="CJN78" s="262"/>
      <c r="CJO78" s="262"/>
      <c r="CJP78" s="262"/>
      <c r="CJQ78" s="262"/>
      <c r="CJR78" s="262"/>
      <c r="CJS78" s="262"/>
      <c r="CJT78" s="262"/>
      <c r="CJU78" s="262"/>
      <c r="CJV78" s="262"/>
      <c r="CJW78" s="262"/>
      <c r="CJX78" s="262"/>
      <c r="CJY78" s="262"/>
      <c r="CJZ78" s="262"/>
      <c r="CKA78" s="262"/>
      <c r="CKB78" s="262"/>
      <c r="CKC78" s="262"/>
      <c r="CKD78" s="262"/>
      <c r="CKE78" s="262"/>
      <c r="CKF78" s="262"/>
      <c r="CKG78" s="262"/>
      <c r="CKH78" s="262"/>
      <c r="CKI78" s="262"/>
      <c r="CKJ78" s="262"/>
      <c r="CKK78" s="262"/>
      <c r="CKL78" s="262"/>
      <c r="CKM78" s="262"/>
      <c r="CKN78" s="262"/>
      <c r="CKO78" s="262"/>
      <c r="CKP78" s="262"/>
      <c r="CKQ78" s="262"/>
      <c r="CKR78" s="262"/>
      <c r="CKS78" s="262"/>
      <c r="CKT78" s="262"/>
      <c r="CKU78" s="262"/>
      <c r="CKV78" s="262"/>
      <c r="CKW78" s="262"/>
      <c r="CKX78" s="262"/>
      <c r="CKY78" s="262"/>
      <c r="CKZ78" s="262"/>
      <c r="CLA78" s="262"/>
      <c r="CLB78" s="262"/>
      <c r="CLC78" s="262"/>
      <c r="CLD78" s="262"/>
      <c r="CLE78" s="262"/>
      <c r="CLF78" s="262"/>
      <c r="CLG78" s="262"/>
      <c r="CLH78" s="262"/>
      <c r="CLI78" s="262"/>
      <c r="CLJ78" s="262"/>
      <c r="CLK78" s="262"/>
      <c r="CLL78" s="262"/>
      <c r="CLM78" s="262"/>
      <c r="CLN78" s="262"/>
      <c r="CLO78" s="262"/>
      <c r="CLP78" s="262"/>
      <c r="CLQ78" s="262"/>
      <c r="CLR78" s="262"/>
      <c r="CLS78" s="262"/>
      <c r="CLT78" s="262"/>
      <c r="CLU78" s="262"/>
      <c r="CLV78" s="262"/>
      <c r="CLW78" s="262"/>
      <c r="CLX78" s="262"/>
      <c r="CLY78" s="262"/>
      <c r="CLZ78" s="262"/>
      <c r="CMA78" s="262"/>
      <c r="CMB78" s="262"/>
      <c r="CMC78" s="262"/>
      <c r="CMD78" s="262"/>
      <c r="CME78" s="262"/>
      <c r="CMF78" s="262"/>
      <c r="CMG78" s="262"/>
      <c r="CMH78" s="262"/>
      <c r="CMI78" s="262"/>
      <c r="CMJ78" s="262"/>
      <c r="CMK78" s="262"/>
      <c r="CML78" s="262"/>
      <c r="CMM78" s="262"/>
      <c r="CMN78" s="262"/>
      <c r="CMO78" s="262"/>
      <c r="CMP78" s="262"/>
      <c r="CMQ78" s="262"/>
      <c r="CMR78" s="262"/>
      <c r="CMS78" s="262"/>
      <c r="CMT78" s="262"/>
      <c r="CMU78" s="262"/>
      <c r="CMV78" s="262"/>
      <c r="CMW78" s="262"/>
      <c r="CMX78" s="262"/>
      <c r="CMY78" s="262"/>
      <c r="CMZ78" s="262"/>
      <c r="CNA78" s="262"/>
      <c r="CNB78" s="262"/>
      <c r="CNC78" s="262"/>
      <c r="CND78" s="262"/>
      <c r="CNE78" s="262"/>
      <c r="CNF78" s="262"/>
      <c r="CNG78" s="262"/>
      <c r="CNH78" s="262"/>
      <c r="CNI78" s="262"/>
      <c r="CNJ78" s="262"/>
      <c r="CNK78" s="262"/>
      <c r="CNL78" s="262"/>
      <c r="CNM78" s="262"/>
      <c r="CNN78" s="262"/>
      <c r="CNO78" s="262"/>
      <c r="CNP78" s="262"/>
      <c r="CNQ78" s="262"/>
      <c r="CNR78" s="262"/>
      <c r="CNS78" s="262"/>
      <c r="CNT78" s="262"/>
      <c r="CNU78" s="262"/>
      <c r="CNV78" s="262"/>
      <c r="CNW78" s="262"/>
      <c r="CNX78" s="262"/>
      <c r="CNY78" s="262"/>
      <c r="CNZ78" s="262"/>
      <c r="COA78" s="262"/>
      <c r="COB78" s="262"/>
      <c r="COC78" s="262"/>
      <c r="COD78" s="262"/>
      <c r="COE78" s="262"/>
      <c r="COF78" s="262"/>
      <c r="COG78" s="262"/>
      <c r="COH78" s="262"/>
      <c r="COI78" s="262"/>
      <c r="COJ78" s="262"/>
      <c r="COK78" s="262"/>
      <c r="COL78" s="262"/>
      <c r="COM78" s="262"/>
      <c r="CON78" s="262"/>
      <c r="COO78" s="262"/>
      <c r="COP78" s="262"/>
      <c r="COQ78" s="262"/>
      <c r="COR78" s="262"/>
      <c r="COS78" s="262"/>
      <c r="COT78" s="262"/>
      <c r="COU78" s="262"/>
      <c r="COV78" s="262"/>
      <c r="COW78" s="262"/>
      <c r="COX78" s="262"/>
      <c r="COY78" s="262"/>
      <c r="COZ78" s="262"/>
      <c r="CPA78" s="262"/>
      <c r="CPB78" s="262"/>
      <c r="CPC78" s="262"/>
      <c r="CPD78" s="262"/>
      <c r="CPE78" s="262"/>
      <c r="CPF78" s="262"/>
      <c r="CPG78" s="262"/>
      <c r="CPH78" s="262"/>
      <c r="CPI78" s="262"/>
      <c r="CPJ78" s="262"/>
      <c r="CPK78" s="262"/>
      <c r="CPL78" s="262"/>
      <c r="CPM78" s="262"/>
      <c r="CPN78" s="262"/>
      <c r="CPO78" s="262"/>
      <c r="CPP78" s="262"/>
      <c r="CPQ78" s="262"/>
      <c r="CPR78" s="262"/>
      <c r="CPS78" s="262"/>
      <c r="CPT78" s="262"/>
      <c r="CPU78" s="262"/>
      <c r="CPV78" s="262"/>
      <c r="CPW78" s="262"/>
      <c r="CPX78" s="262"/>
      <c r="CPY78" s="262"/>
      <c r="CPZ78" s="262"/>
      <c r="CQA78" s="262"/>
      <c r="CQB78" s="262"/>
      <c r="CQC78" s="262"/>
      <c r="CQD78" s="262"/>
      <c r="CQE78" s="262"/>
      <c r="CQF78" s="262"/>
      <c r="CQG78" s="262"/>
      <c r="CQH78" s="262"/>
      <c r="CQI78" s="262"/>
      <c r="CQJ78" s="262"/>
      <c r="CQK78" s="262"/>
      <c r="CQL78" s="262"/>
      <c r="CQM78" s="262"/>
      <c r="CQN78" s="262"/>
      <c r="CQO78" s="262"/>
      <c r="CQP78" s="262"/>
      <c r="CQQ78" s="262"/>
      <c r="CQR78" s="262"/>
      <c r="CQS78" s="262"/>
      <c r="CQT78" s="262"/>
      <c r="CQU78" s="262"/>
      <c r="CQV78" s="262"/>
      <c r="CQW78" s="262"/>
      <c r="CQX78" s="262"/>
      <c r="CQY78" s="262"/>
      <c r="CQZ78" s="262"/>
      <c r="CRA78" s="262"/>
      <c r="CRB78" s="262"/>
      <c r="CRC78" s="262"/>
      <c r="CRD78" s="262"/>
      <c r="CRE78" s="262"/>
      <c r="CRF78" s="262"/>
      <c r="CRG78" s="262"/>
      <c r="CRH78" s="262"/>
      <c r="CRI78" s="262"/>
      <c r="CRJ78" s="262"/>
      <c r="CRK78" s="262"/>
      <c r="CRL78" s="262"/>
      <c r="CRM78" s="262"/>
      <c r="CRN78" s="262"/>
      <c r="CRO78" s="262"/>
      <c r="CRP78" s="262"/>
      <c r="CRQ78" s="262"/>
      <c r="CRR78" s="262"/>
      <c r="CRS78" s="262"/>
      <c r="CRT78" s="262"/>
      <c r="CRU78" s="262"/>
      <c r="CRV78" s="262"/>
      <c r="CRW78" s="262"/>
      <c r="CRX78" s="262"/>
      <c r="CRY78" s="262"/>
      <c r="CRZ78" s="262"/>
      <c r="CSA78" s="262"/>
      <c r="CSB78" s="262"/>
      <c r="CSC78" s="262"/>
      <c r="CSD78" s="262"/>
      <c r="CSE78" s="262"/>
      <c r="CSF78" s="262"/>
      <c r="CSG78" s="262"/>
      <c r="CSH78" s="262"/>
      <c r="CSI78" s="262"/>
      <c r="CSJ78" s="262"/>
      <c r="CSK78" s="262"/>
      <c r="CSL78" s="262"/>
      <c r="CSM78" s="262"/>
      <c r="CSN78" s="262"/>
      <c r="CSO78" s="262"/>
      <c r="CSP78" s="262"/>
      <c r="CSQ78" s="262"/>
      <c r="CSR78" s="262"/>
      <c r="CSS78" s="262"/>
      <c r="CST78" s="262"/>
      <c r="CSU78" s="262"/>
      <c r="CSV78" s="262"/>
      <c r="CSW78" s="262"/>
      <c r="CSX78" s="262"/>
      <c r="CSY78" s="262"/>
      <c r="CSZ78" s="262"/>
      <c r="CTA78" s="262"/>
      <c r="CTB78" s="262"/>
      <c r="CTC78" s="262"/>
      <c r="CTD78" s="262"/>
      <c r="CTE78" s="262"/>
      <c r="CTF78" s="262"/>
      <c r="CTG78" s="262"/>
      <c r="CTH78" s="262"/>
      <c r="CTI78" s="262"/>
      <c r="CTJ78" s="262"/>
      <c r="CTK78" s="262"/>
      <c r="CTL78" s="262"/>
      <c r="CTM78" s="262"/>
      <c r="CTN78" s="262"/>
      <c r="CTO78" s="262"/>
      <c r="CTP78" s="262"/>
      <c r="CTQ78" s="262"/>
      <c r="CTR78" s="262"/>
      <c r="CTS78" s="262"/>
      <c r="CTT78" s="262"/>
      <c r="CTU78" s="262"/>
      <c r="CTV78" s="262"/>
      <c r="CTW78" s="262"/>
      <c r="CTX78" s="262"/>
      <c r="CTY78" s="262"/>
      <c r="CTZ78" s="262"/>
      <c r="CUA78" s="262"/>
      <c r="CUB78" s="262"/>
      <c r="CUC78" s="262"/>
      <c r="CUD78" s="262"/>
      <c r="CUE78" s="262"/>
      <c r="CUF78" s="262"/>
      <c r="CUG78" s="262"/>
      <c r="CUH78" s="262"/>
      <c r="CUI78" s="262"/>
      <c r="CUJ78" s="262"/>
      <c r="CUK78" s="262"/>
      <c r="CUL78" s="262"/>
      <c r="CUM78" s="262"/>
      <c r="CUN78" s="262"/>
      <c r="CUO78" s="262"/>
      <c r="CUP78" s="262"/>
      <c r="CUQ78" s="262"/>
      <c r="CUR78" s="262"/>
      <c r="CUS78" s="262"/>
      <c r="CUT78" s="262"/>
      <c r="CUU78" s="262"/>
      <c r="CUV78" s="262"/>
      <c r="CUW78" s="262"/>
      <c r="CUX78" s="262"/>
      <c r="CUY78" s="262"/>
      <c r="CUZ78" s="262"/>
      <c r="CVA78" s="262"/>
      <c r="CVB78" s="262"/>
      <c r="CVC78" s="262"/>
      <c r="CVD78" s="262"/>
      <c r="CVE78" s="262"/>
      <c r="CVF78" s="262"/>
      <c r="CVG78" s="262"/>
      <c r="CVH78" s="262"/>
      <c r="CVI78" s="262"/>
      <c r="CVJ78" s="262"/>
      <c r="CVK78" s="262"/>
      <c r="CVL78" s="262"/>
      <c r="CVM78" s="262"/>
      <c r="CVN78" s="262"/>
      <c r="CVO78" s="262"/>
      <c r="CVP78" s="262"/>
      <c r="CVQ78" s="262"/>
      <c r="CVR78" s="262"/>
      <c r="CVS78" s="262"/>
      <c r="CVT78" s="262"/>
      <c r="CVU78" s="262"/>
      <c r="CVV78" s="262"/>
      <c r="CVW78" s="262"/>
      <c r="CVX78" s="262"/>
      <c r="CVY78" s="262"/>
      <c r="CVZ78" s="262"/>
      <c r="CWA78" s="262"/>
      <c r="CWB78" s="262"/>
      <c r="CWC78" s="262"/>
      <c r="CWD78" s="262"/>
      <c r="CWE78" s="262"/>
      <c r="CWF78" s="262"/>
      <c r="CWG78" s="262"/>
      <c r="CWH78" s="262"/>
      <c r="CWI78" s="262"/>
      <c r="CWJ78" s="262"/>
      <c r="CWK78" s="262"/>
      <c r="CWL78" s="262"/>
      <c r="CWM78" s="262"/>
      <c r="CWN78" s="262"/>
      <c r="CWO78" s="262"/>
      <c r="CWP78" s="262"/>
      <c r="CWQ78" s="262"/>
      <c r="CWR78" s="262"/>
      <c r="CWS78" s="262"/>
      <c r="CWT78" s="262"/>
      <c r="CWU78" s="262"/>
      <c r="CWV78" s="262"/>
      <c r="CWW78" s="262"/>
      <c r="CWX78" s="262"/>
      <c r="CWY78" s="262"/>
      <c r="CWZ78" s="262"/>
      <c r="CXA78" s="262"/>
      <c r="CXB78" s="262"/>
      <c r="CXC78" s="262"/>
      <c r="CXD78" s="262"/>
      <c r="CXE78" s="262"/>
      <c r="CXF78" s="262"/>
      <c r="CXG78" s="262"/>
      <c r="CXH78" s="262"/>
      <c r="CXI78" s="262"/>
      <c r="CXJ78" s="262"/>
      <c r="CXK78" s="262"/>
      <c r="CXL78" s="262"/>
      <c r="CXM78" s="262"/>
      <c r="CXN78" s="262"/>
      <c r="CXO78" s="262"/>
      <c r="CXP78" s="262"/>
      <c r="CXQ78" s="262"/>
      <c r="CXR78" s="262"/>
      <c r="CXS78" s="262"/>
      <c r="CXT78" s="262"/>
      <c r="CXU78" s="262"/>
      <c r="CXV78" s="262"/>
      <c r="CXW78" s="262"/>
      <c r="CXX78" s="262"/>
      <c r="CXY78" s="262"/>
      <c r="CXZ78" s="262"/>
      <c r="CYA78" s="262"/>
      <c r="CYB78" s="262"/>
      <c r="CYC78" s="262"/>
      <c r="CYD78" s="262"/>
      <c r="CYE78" s="262"/>
      <c r="CYF78" s="262"/>
      <c r="CYG78" s="262"/>
      <c r="CYH78" s="262"/>
      <c r="CYI78" s="262"/>
      <c r="CYJ78" s="262"/>
      <c r="CYK78" s="262"/>
      <c r="CYL78" s="262"/>
      <c r="CYM78" s="262"/>
      <c r="CYN78" s="262"/>
      <c r="CYO78" s="262"/>
      <c r="CYP78" s="262"/>
      <c r="CYQ78" s="262"/>
      <c r="CYR78" s="262"/>
      <c r="CYS78" s="262"/>
      <c r="CYT78" s="262"/>
      <c r="CYU78" s="262"/>
      <c r="CYV78" s="262"/>
      <c r="CYW78" s="262"/>
      <c r="CYX78" s="262"/>
      <c r="CYY78" s="262"/>
      <c r="CYZ78" s="262"/>
      <c r="CZA78" s="262"/>
      <c r="CZB78" s="262"/>
      <c r="CZC78" s="262"/>
      <c r="CZD78" s="262"/>
      <c r="CZE78" s="262"/>
      <c r="CZF78" s="262"/>
      <c r="CZG78" s="262"/>
      <c r="CZH78" s="262"/>
      <c r="CZI78" s="262"/>
      <c r="CZJ78" s="262"/>
      <c r="CZK78" s="262"/>
      <c r="CZL78" s="262"/>
      <c r="CZM78" s="262"/>
      <c r="CZN78" s="262"/>
      <c r="CZO78" s="262"/>
      <c r="CZP78" s="262"/>
      <c r="CZQ78" s="262"/>
      <c r="CZR78" s="262"/>
      <c r="CZS78" s="262"/>
      <c r="CZT78" s="262"/>
      <c r="CZU78" s="262"/>
      <c r="CZV78" s="262"/>
      <c r="CZW78" s="262"/>
      <c r="CZX78" s="262"/>
      <c r="CZY78" s="262"/>
      <c r="CZZ78" s="262"/>
      <c r="DAA78" s="262"/>
      <c r="DAB78" s="262"/>
      <c r="DAC78" s="262"/>
      <c r="DAD78" s="262"/>
      <c r="DAE78" s="262"/>
      <c r="DAF78" s="262"/>
      <c r="DAG78" s="262"/>
      <c r="DAH78" s="262"/>
      <c r="DAI78" s="262"/>
      <c r="DAJ78" s="262"/>
      <c r="DAK78" s="262"/>
      <c r="DAL78" s="262"/>
      <c r="DAM78" s="262"/>
      <c r="DAN78" s="262"/>
      <c r="DAO78" s="262"/>
      <c r="DAP78" s="262"/>
      <c r="DAQ78" s="262"/>
      <c r="DAR78" s="262"/>
      <c r="DAS78" s="262"/>
      <c r="DAT78" s="262"/>
      <c r="DAU78" s="262"/>
      <c r="DAV78" s="262"/>
      <c r="DAW78" s="262"/>
      <c r="DAX78" s="262"/>
      <c r="DAY78" s="262"/>
      <c r="DAZ78" s="262"/>
      <c r="DBA78" s="262"/>
      <c r="DBB78" s="262"/>
      <c r="DBC78" s="262"/>
      <c r="DBD78" s="262"/>
      <c r="DBE78" s="262"/>
      <c r="DBF78" s="262"/>
      <c r="DBG78" s="262"/>
      <c r="DBH78" s="262"/>
      <c r="DBI78" s="262"/>
      <c r="DBJ78" s="262"/>
      <c r="DBK78" s="262"/>
      <c r="DBL78" s="262"/>
      <c r="DBM78" s="262"/>
      <c r="DBN78" s="262"/>
      <c r="DBO78" s="262"/>
      <c r="DBP78" s="262"/>
      <c r="DBQ78" s="262"/>
      <c r="DBR78" s="262"/>
      <c r="DBS78" s="262"/>
      <c r="DBT78" s="262"/>
      <c r="DBU78" s="262"/>
      <c r="DBV78" s="262"/>
      <c r="DBW78" s="262"/>
      <c r="DBX78" s="262"/>
      <c r="DBY78" s="262"/>
      <c r="DBZ78" s="262"/>
      <c r="DCA78" s="262"/>
      <c r="DCB78" s="262"/>
      <c r="DCC78" s="262"/>
      <c r="DCD78" s="262"/>
      <c r="DCE78" s="262"/>
      <c r="DCF78" s="262"/>
      <c r="DCG78" s="262"/>
      <c r="DCH78" s="262"/>
      <c r="DCI78" s="262"/>
      <c r="DCJ78" s="262"/>
      <c r="DCK78" s="262"/>
      <c r="DCL78" s="262"/>
      <c r="DCM78" s="262"/>
      <c r="DCN78" s="262"/>
      <c r="DCO78" s="262"/>
      <c r="DCP78" s="262"/>
      <c r="DCQ78" s="262"/>
      <c r="DCR78" s="262"/>
      <c r="DCS78" s="262"/>
      <c r="DCT78" s="262"/>
      <c r="DCU78" s="262"/>
      <c r="DCV78" s="262"/>
      <c r="DCW78" s="262"/>
      <c r="DCX78" s="262"/>
      <c r="DCY78" s="262"/>
      <c r="DCZ78" s="262"/>
      <c r="DDA78" s="262"/>
      <c r="DDB78" s="262"/>
      <c r="DDC78" s="262"/>
      <c r="DDD78" s="262"/>
      <c r="DDE78" s="262"/>
      <c r="DDF78" s="262"/>
      <c r="DDG78" s="262"/>
      <c r="DDH78" s="262"/>
      <c r="DDI78" s="262"/>
      <c r="DDJ78" s="262"/>
      <c r="DDK78" s="262"/>
      <c r="DDL78" s="262"/>
      <c r="DDM78" s="262"/>
      <c r="DDN78" s="262"/>
      <c r="DDO78" s="262"/>
      <c r="DDP78" s="262"/>
      <c r="DDQ78" s="262"/>
      <c r="DDR78" s="262"/>
      <c r="DDS78" s="262"/>
      <c r="DDT78" s="262"/>
      <c r="DDU78" s="262"/>
      <c r="DDV78" s="262"/>
      <c r="DDW78" s="262"/>
      <c r="DDX78" s="262"/>
      <c r="DDY78" s="262"/>
      <c r="DDZ78" s="262"/>
      <c r="DEA78" s="262"/>
      <c r="DEB78" s="262"/>
      <c r="DEC78" s="262"/>
      <c r="DED78" s="262"/>
      <c r="DEE78" s="262"/>
      <c r="DEF78" s="262"/>
      <c r="DEG78" s="262"/>
      <c r="DEH78" s="262"/>
      <c r="DEI78" s="262"/>
      <c r="DEJ78" s="262"/>
      <c r="DEK78" s="262"/>
      <c r="DEL78" s="262"/>
      <c r="DEM78" s="262"/>
      <c r="DEN78" s="262"/>
      <c r="DEO78" s="262"/>
      <c r="DEP78" s="262"/>
      <c r="DEQ78" s="262"/>
      <c r="DER78" s="262"/>
      <c r="DES78" s="262"/>
      <c r="DET78" s="262"/>
      <c r="DEU78" s="262"/>
      <c r="DEV78" s="262"/>
      <c r="DEW78" s="262"/>
      <c r="DEX78" s="262"/>
      <c r="DEY78" s="262"/>
      <c r="DEZ78" s="262"/>
      <c r="DFA78" s="262"/>
      <c r="DFB78" s="262"/>
      <c r="DFC78" s="262"/>
      <c r="DFD78" s="262"/>
      <c r="DFE78" s="262"/>
      <c r="DFF78" s="262"/>
      <c r="DFG78" s="262"/>
      <c r="DFH78" s="262"/>
      <c r="DFI78" s="262"/>
      <c r="DFJ78" s="262"/>
      <c r="DFK78" s="262"/>
      <c r="DFL78" s="262"/>
      <c r="DFM78" s="262"/>
      <c r="DFN78" s="262"/>
      <c r="DFO78" s="262"/>
      <c r="DFP78" s="262"/>
      <c r="DFQ78" s="262"/>
      <c r="DFR78" s="262"/>
      <c r="DFS78" s="262"/>
      <c r="DFT78" s="262"/>
      <c r="DFU78" s="262"/>
      <c r="DFV78" s="262"/>
      <c r="DFW78" s="262"/>
      <c r="DFX78" s="262"/>
      <c r="DFY78" s="262"/>
      <c r="DFZ78" s="262"/>
      <c r="DGA78" s="262"/>
      <c r="DGB78" s="262"/>
      <c r="DGC78" s="262"/>
      <c r="DGD78" s="262"/>
      <c r="DGE78" s="262"/>
      <c r="DGF78" s="262"/>
      <c r="DGG78" s="262"/>
      <c r="DGH78" s="262"/>
      <c r="DGI78" s="262"/>
      <c r="DGJ78" s="262"/>
      <c r="DGK78" s="262"/>
      <c r="DGL78" s="262"/>
      <c r="DGM78" s="262"/>
      <c r="DGN78" s="262"/>
      <c r="DGO78" s="262"/>
      <c r="DGP78" s="262"/>
      <c r="DGQ78" s="262"/>
      <c r="DGR78" s="262"/>
      <c r="DGS78" s="262"/>
      <c r="DGT78" s="262"/>
      <c r="DGU78" s="262"/>
      <c r="DGV78" s="262"/>
      <c r="DGW78" s="262"/>
      <c r="DGX78" s="262"/>
      <c r="DGY78" s="262"/>
      <c r="DGZ78" s="262"/>
      <c r="DHA78" s="262"/>
      <c r="DHB78" s="262"/>
      <c r="DHC78" s="262"/>
      <c r="DHD78" s="262"/>
      <c r="DHE78" s="262"/>
      <c r="DHF78" s="262"/>
      <c r="DHG78" s="262"/>
      <c r="DHH78" s="262"/>
      <c r="DHI78" s="262"/>
      <c r="DHJ78" s="262"/>
      <c r="DHK78" s="262"/>
      <c r="DHL78" s="262"/>
      <c r="DHM78" s="262"/>
      <c r="DHN78" s="262"/>
      <c r="DHO78" s="262"/>
      <c r="DHP78" s="262"/>
      <c r="DHQ78" s="262"/>
      <c r="DHR78" s="262"/>
      <c r="DHS78" s="262"/>
      <c r="DHT78" s="262"/>
      <c r="DHU78" s="262"/>
      <c r="DHV78" s="262"/>
      <c r="DHW78" s="262"/>
      <c r="DHX78" s="262"/>
      <c r="DHY78" s="262"/>
      <c r="DHZ78" s="262"/>
      <c r="DIA78" s="262"/>
      <c r="DIB78" s="262"/>
      <c r="DIC78" s="262"/>
      <c r="DID78" s="262"/>
      <c r="DIE78" s="262"/>
      <c r="DIF78" s="262"/>
      <c r="DIG78" s="262"/>
      <c r="DIH78" s="262"/>
      <c r="DII78" s="262"/>
      <c r="DIJ78" s="262"/>
      <c r="DIK78" s="262"/>
      <c r="DIL78" s="262"/>
      <c r="DIM78" s="262"/>
      <c r="DIN78" s="262"/>
      <c r="DIO78" s="262"/>
      <c r="DIP78" s="262"/>
      <c r="DIQ78" s="262"/>
      <c r="DIR78" s="262"/>
      <c r="DIS78" s="262"/>
      <c r="DIT78" s="262"/>
      <c r="DIU78" s="262"/>
      <c r="DIV78" s="262"/>
      <c r="DIW78" s="262"/>
      <c r="DIX78" s="262"/>
      <c r="DIY78" s="262"/>
      <c r="DIZ78" s="262"/>
      <c r="DJA78" s="262"/>
      <c r="DJB78" s="262"/>
      <c r="DJC78" s="262"/>
      <c r="DJD78" s="262"/>
      <c r="DJE78" s="262"/>
      <c r="DJF78" s="262"/>
      <c r="DJG78" s="262"/>
      <c r="DJH78" s="262"/>
      <c r="DJI78" s="262"/>
      <c r="DJJ78" s="262"/>
      <c r="DJK78" s="262"/>
      <c r="DJL78" s="262"/>
      <c r="DJM78" s="262"/>
      <c r="DJN78" s="262"/>
      <c r="DJO78" s="262"/>
      <c r="DJP78" s="262"/>
      <c r="DJQ78" s="262"/>
      <c r="DJR78" s="262"/>
      <c r="DJS78" s="262"/>
      <c r="DJT78" s="262"/>
      <c r="DJU78" s="262"/>
      <c r="DJV78" s="262"/>
      <c r="DJW78" s="262"/>
      <c r="DJX78" s="262"/>
      <c r="DJY78" s="262"/>
      <c r="DJZ78" s="262"/>
      <c r="DKA78" s="262"/>
      <c r="DKB78" s="262"/>
      <c r="DKC78" s="262"/>
      <c r="DKD78" s="262"/>
      <c r="DKE78" s="262"/>
      <c r="DKF78" s="262"/>
      <c r="DKG78" s="262"/>
      <c r="DKH78" s="262"/>
      <c r="DKI78" s="262"/>
      <c r="DKJ78" s="262"/>
      <c r="DKK78" s="262"/>
      <c r="DKL78" s="262"/>
      <c r="DKM78" s="262"/>
      <c r="DKN78" s="262"/>
      <c r="DKO78" s="262"/>
      <c r="DKP78" s="262"/>
      <c r="DKQ78" s="262"/>
      <c r="DKR78" s="262"/>
      <c r="DKS78" s="262"/>
      <c r="DKT78" s="262"/>
      <c r="DKU78" s="262"/>
      <c r="DKV78" s="262"/>
      <c r="DKW78" s="262"/>
      <c r="DKX78" s="262"/>
      <c r="DKY78" s="262"/>
      <c r="DKZ78" s="262"/>
      <c r="DLA78" s="262"/>
      <c r="DLB78" s="262"/>
      <c r="DLC78" s="262"/>
      <c r="DLD78" s="262"/>
      <c r="DLE78" s="262"/>
      <c r="DLF78" s="262"/>
      <c r="DLG78" s="262"/>
      <c r="DLH78" s="262"/>
      <c r="DLI78" s="262"/>
      <c r="DLJ78" s="262"/>
      <c r="DLK78" s="262"/>
      <c r="DLL78" s="262"/>
      <c r="DLM78" s="262"/>
      <c r="DLN78" s="262"/>
      <c r="DLO78" s="262"/>
      <c r="DLP78" s="262"/>
      <c r="DLQ78" s="262"/>
      <c r="DLR78" s="262"/>
      <c r="DLS78" s="262"/>
      <c r="DLT78" s="262"/>
      <c r="DLU78" s="262"/>
      <c r="DLV78" s="262"/>
      <c r="DLW78" s="262"/>
      <c r="DLX78" s="262"/>
      <c r="DLY78" s="262"/>
      <c r="DLZ78" s="262"/>
      <c r="DMA78" s="262"/>
      <c r="DMB78" s="262"/>
      <c r="DMC78" s="262"/>
      <c r="DMD78" s="262"/>
      <c r="DME78" s="262"/>
      <c r="DMF78" s="262"/>
      <c r="DMG78" s="262"/>
      <c r="DMH78" s="262"/>
      <c r="DMI78" s="262"/>
      <c r="DMJ78" s="262"/>
      <c r="DMK78" s="262"/>
      <c r="DML78" s="262"/>
      <c r="DMM78" s="262"/>
      <c r="DMN78" s="262"/>
      <c r="DMO78" s="262"/>
      <c r="DMP78" s="262"/>
      <c r="DMQ78" s="262"/>
      <c r="DMR78" s="262"/>
      <c r="DMS78" s="262"/>
      <c r="DMT78" s="262"/>
      <c r="DMU78" s="262"/>
      <c r="DMV78" s="262"/>
      <c r="DMW78" s="262"/>
      <c r="DMX78" s="262"/>
      <c r="DMY78" s="262"/>
      <c r="DMZ78" s="262"/>
      <c r="DNA78" s="262"/>
      <c r="DNB78" s="262"/>
      <c r="DNC78" s="262"/>
      <c r="DND78" s="262"/>
      <c r="DNE78" s="262"/>
      <c r="DNF78" s="262"/>
      <c r="DNG78" s="262"/>
      <c r="DNH78" s="262"/>
      <c r="DNI78" s="262"/>
      <c r="DNJ78" s="262"/>
      <c r="DNK78" s="262"/>
      <c r="DNL78" s="262"/>
      <c r="DNM78" s="262"/>
      <c r="DNN78" s="262"/>
      <c r="DNO78" s="262"/>
      <c r="DNP78" s="262"/>
      <c r="DNQ78" s="262"/>
      <c r="DNR78" s="262"/>
      <c r="DNS78" s="262"/>
      <c r="DNT78" s="262"/>
      <c r="DNU78" s="262"/>
      <c r="DNV78" s="262"/>
      <c r="DNW78" s="262"/>
      <c r="DNX78" s="262"/>
      <c r="DNY78" s="262"/>
      <c r="DNZ78" s="262"/>
      <c r="DOA78" s="262"/>
      <c r="DOB78" s="262"/>
      <c r="DOC78" s="262"/>
      <c r="DOD78" s="262"/>
      <c r="DOE78" s="262"/>
      <c r="DOF78" s="262"/>
      <c r="DOG78" s="262"/>
      <c r="DOH78" s="262"/>
      <c r="DOI78" s="262"/>
      <c r="DOJ78" s="262"/>
      <c r="DOK78" s="262"/>
      <c r="DOL78" s="262"/>
      <c r="DOM78" s="262"/>
      <c r="DON78" s="262"/>
      <c r="DOO78" s="262"/>
      <c r="DOP78" s="262"/>
      <c r="DOQ78" s="262"/>
      <c r="DOR78" s="262"/>
      <c r="DOS78" s="262"/>
      <c r="DOT78" s="262"/>
      <c r="DOU78" s="262"/>
      <c r="DOV78" s="262"/>
      <c r="DOW78" s="262"/>
      <c r="DOX78" s="262"/>
      <c r="DOY78" s="262"/>
      <c r="DOZ78" s="262"/>
      <c r="DPA78" s="262"/>
      <c r="DPB78" s="262"/>
      <c r="DPC78" s="262"/>
      <c r="DPD78" s="262"/>
      <c r="DPE78" s="262"/>
      <c r="DPF78" s="262"/>
      <c r="DPG78" s="262"/>
      <c r="DPH78" s="262"/>
      <c r="DPI78" s="262"/>
      <c r="DPJ78" s="262"/>
      <c r="DPK78" s="262"/>
      <c r="DPL78" s="262"/>
      <c r="DPM78" s="262"/>
      <c r="DPN78" s="262"/>
      <c r="DPO78" s="262"/>
      <c r="DPP78" s="262"/>
      <c r="DPQ78" s="262"/>
      <c r="DPR78" s="262"/>
      <c r="DPS78" s="262"/>
      <c r="DPT78" s="262"/>
      <c r="DPU78" s="262"/>
      <c r="DPV78" s="262"/>
      <c r="DPW78" s="262"/>
      <c r="DPX78" s="262"/>
      <c r="DPY78" s="262"/>
      <c r="DPZ78" s="262"/>
      <c r="DQA78" s="262"/>
      <c r="DQB78" s="262"/>
      <c r="DQC78" s="262"/>
      <c r="DQD78" s="262"/>
      <c r="DQE78" s="262"/>
      <c r="DQF78" s="262"/>
      <c r="DQG78" s="262"/>
      <c r="DQH78" s="262"/>
      <c r="DQI78" s="262"/>
      <c r="DQJ78" s="262"/>
      <c r="DQK78" s="262"/>
      <c r="DQL78" s="262"/>
      <c r="DQM78" s="262"/>
      <c r="DQN78" s="262"/>
      <c r="DQO78" s="262"/>
      <c r="DQP78" s="262"/>
      <c r="DQQ78" s="262"/>
      <c r="DQR78" s="262"/>
      <c r="DQS78" s="262"/>
      <c r="DQT78" s="262"/>
      <c r="DQU78" s="262"/>
      <c r="DQV78" s="262"/>
      <c r="DQW78" s="262"/>
      <c r="DQX78" s="262"/>
      <c r="DQY78" s="262"/>
      <c r="DQZ78" s="262"/>
      <c r="DRA78" s="262"/>
      <c r="DRB78" s="262"/>
      <c r="DRC78" s="262"/>
      <c r="DRD78" s="262"/>
      <c r="DRE78" s="262"/>
      <c r="DRF78" s="262"/>
      <c r="DRG78" s="262"/>
      <c r="DRH78" s="262"/>
      <c r="DRI78" s="262"/>
      <c r="DRJ78" s="262"/>
      <c r="DRK78" s="262"/>
      <c r="DRL78" s="262"/>
      <c r="DRM78" s="262"/>
      <c r="DRN78" s="262"/>
      <c r="DRO78" s="262"/>
      <c r="DRP78" s="262"/>
      <c r="DRQ78" s="262"/>
      <c r="DRR78" s="262"/>
      <c r="DRS78" s="262"/>
      <c r="DRT78" s="262"/>
      <c r="DRU78" s="262"/>
      <c r="DRV78" s="262"/>
      <c r="DRW78" s="262"/>
      <c r="DRX78" s="262"/>
      <c r="DRY78" s="262"/>
      <c r="DRZ78" s="262"/>
      <c r="DSA78" s="262"/>
      <c r="DSB78" s="262"/>
      <c r="DSC78" s="262"/>
      <c r="DSD78" s="262"/>
      <c r="DSE78" s="262"/>
      <c r="DSF78" s="262"/>
      <c r="DSG78" s="262"/>
      <c r="DSH78" s="262"/>
      <c r="DSI78" s="262"/>
      <c r="DSJ78" s="262"/>
      <c r="DSK78" s="262"/>
      <c r="DSL78" s="262"/>
      <c r="DSM78" s="262"/>
      <c r="DSN78" s="262"/>
      <c r="DSO78" s="262"/>
      <c r="DSP78" s="262"/>
      <c r="DSQ78" s="262"/>
      <c r="DSR78" s="262"/>
      <c r="DSS78" s="262"/>
      <c r="DST78" s="262"/>
      <c r="DSU78" s="262"/>
      <c r="DSV78" s="262"/>
      <c r="DSW78" s="262"/>
      <c r="DSX78" s="262"/>
      <c r="DSY78" s="262"/>
      <c r="DSZ78" s="262"/>
      <c r="DTA78" s="262"/>
      <c r="DTB78" s="262"/>
      <c r="DTC78" s="262"/>
      <c r="DTD78" s="262"/>
      <c r="DTE78" s="262"/>
      <c r="DTF78" s="262"/>
      <c r="DTG78" s="262"/>
      <c r="DTH78" s="262"/>
      <c r="DTI78" s="262"/>
      <c r="DTJ78" s="262"/>
      <c r="DTK78" s="262"/>
      <c r="DTL78" s="262"/>
      <c r="DTM78" s="262"/>
      <c r="DTN78" s="262"/>
      <c r="DTO78" s="262"/>
      <c r="DTP78" s="262"/>
      <c r="DTQ78" s="262"/>
      <c r="DTR78" s="262"/>
      <c r="DTS78" s="262"/>
      <c r="DTT78" s="262"/>
      <c r="DTU78" s="262"/>
      <c r="DTV78" s="262"/>
      <c r="DTW78" s="262"/>
      <c r="DTX78" s="262"/>
      <c r="DTY78" s="262"/>
      <c r="DTZ78" s="262"/>
      <c r="DUA78" s="262"/>
      <c r="DUB78" s="262"/>
      <c r="DUC78" s="262"/>
      <c r="DUD78" s="262"/>
      <c r="DUE78" s="262"/>
      <c r="DUF78" s="262"/>
      <c r="DUG78" s="262"/>
      <c r="DUH78" s="262"/>
      <c r="DUI78" s="262"/>
      <c r="DUJ78" s="262"/>
      <c r="DUK78" s="262"/>
      <c r="DUL78" s="262"/>
      <c r="DUM78" s="262"/>
      <c r="DUN78" s="262"/>
      <c r="DUO78" s="262"/>
      <c r="DUP78" s="262"/>
      <c r="DUQ78" s="262"/>
      <c r="DUR78" s="262"/>
      <c r="DUS78" s="262"/>
      <c r="DUT78" s="262"/>
      <c r="DUU78" s="262"/>
      <c r="DUV78" s="262"/>
      <c r="DUW78" s="262"/>
      <c r="DUX78" s="262"/>
      <c r="DUY78" s="262"/>
      <c r="DUZ78" s="262"/>
      <c r="DVA78" s="262"/>
      <c r="DVB78" s="262"/>
      <c r="DVC78" s="262"/>
      <c r="DVD78" s="262"/>
      <c r="DVE78" s="262"/>
      <c r="DVF78" s="262"/>
      <c r="DVG78" s="262"/>
      <c r="DVH78" s="262"/>
      <c r="DVI78" s="262"/>
      <c r="DVJ78" s="262"/>
      <c r="DVK78" s="262"/>
      <c r="DVL78" s="262"/>
      <c r="DVM78" s="262"/>
      <c r="DVN78" s="262"/>
      <c r="DVO78" s="262"/>
      <c r="DVP78" s="262"/>
      <c r="DVQ78" s="262"/>
      <c r="DVR78" s="262"/>
      <c r="DVS78" s="262"/>
      <c r="DVT78" s="262"/>
      <c r="DVU78" s="262"/>
      <c r="DVV78" s="262"/>
      <c r="DVW78" s="262"/>
      <c r="DVX78" s="262"/>
      <c r="DVY78" s="262"/>
      <c r="DVZ78" s="262"/>
      <c r="DWA78" s="262"/>
      <c r="DWB78" s="262"/>
      <c r="DWC78" s="262"/>
      <c r="DWD78" s="262"/>
      <c r="DWE78" s="262"/>
      <c r="DWF78" s="262"/>
      <c r="DWG78" s="262"/>
      <c r="DWH78" s="262"/>
      <c r="DWI78" s="262"/>
      <c r="DWJ78" s="262"/>
      <c r="DWK78" s="262"/>
      <c r="DWL78" s="262"/>
      <c r="DWM78" s="262"/>
      <c r="DWN78" s="262"/>
      <c r="DWO78" s="262"/>
      <c r="DWP78" s="262"/>
      <c r="DWQ78" s="262"/>
      <c r="DWR78" s="262"/>
      <c r="DWS78" s="262"/>
      <c r="DWT78" s="262"/>
      <c r="DWU78" s="262"/>
      <c r="DWV78" s="262"/>
      <c r="DWW78" s="262"/>
      <c r="DWX78" s="262"/>
      <c r="DWY78" s="262"/>
      <c r="DWZ78" s="262"/>
      <c r="DXA78" s="262"/>
      <c r="DXB78" s="262"/>
      <c r="DXC78" s="262"/>
      <c r="DXD78" s="262"/>
      <c r="DXE78" s="262"/>
      <c r="DXF78" s="262"/>
      <c r="DXG78" s="262"/>
      <c r="DXH78" s="262"/>
      <c r="DXI78" s="262"/>
      <c r="DXJ78" s="262"/>
      <c r="DXK78" s="262"/>
      <c r="DXL78" s="262"/>
      <c r="DXM78" s="262"/>
      <c r="DXN78" s="262"/>
      <c r="DXO78" s="262"/>
      <c r="DXP78" s="262"/>
      <c r="DXQ78" s="262"/>
      <c r="DXR78" s="262"/>
      <c r="DXS78" s="262"/>
      <c r="DXT78" s="262"/>
      <c r="DXU78" s="262"/>
      <c r="DXV78" s="262"/>
      <c r="DXW78" s="262"/>
      <c r="DXX78" s="262"/>
      <c r="DXY78" s="262"/>
      <c r="DXZ78" s="262"/>
      <c r="DYA78" s="262"/>
      <c r="DYB78" s="262"/>
      <c r="DYC78" s="262"/>
      <c r="DYD78" s="262"/>
      <c r="DYE78" s="262"/>
      <c r="DYF78" s="262"/>
      <c r="DYG78" s="262"/>
      <c r="DYH78" s="262"/>
      <c r="DYI78" s="262"/>
      <c r="DYJ78" s="262"/>
      <c r="DYK78" s="262"/>
      <c r="DYL78" s="262"/>
      <c r="DYM78" s="262"/>
      <c r="DYN78" s="262"/>
      <c r="DYO78" s="262"/>
      <c r="DYP78" s="262"/>
      <c r="DYQ78" s="262"/>
      <c r="DYR78" s="262"/>
      <c r="DYS78" s="262"/>
      <c r="DYT78" s="262"/>
      <c r="DYU78" s="262"/>
      <c r="DYV78" s="262"/>
      <c r="DYW78" s="262"/>
      <c r="DYX78" s="262"/>
      <c r="DYY78" s="262"/>
      <c r="DYZ78" s="262"/>
      <c r="DZA78" s="262"/>
      <c r="DZB78" s="262"/>
      <c r="DZC78" s="262"/>
      <c r="DZD78" s="262"/>
      <c r="DZE78" s="262"/>
      <c r="DZF78" s="262"/>
      <c r="DZG78" s="262"/>
      <c r="DZH78" s="262"/>
      <c r="DZI78" s="262"/>
      <c r="DZJ78" s="262"/>
      <c r="DZK78" s="262"/>
      <c r="DZL78" s="262"/>
      <c r="DZM78" s="262"/>
      <c r="DZN78" s="262"/>
      <c r="DZO78" s="262"/>
      <c r="DZP78" s="262"/>
      <c r="DZQ78" s="262"/>
      <c r="DZR78" s="262"/>
      <c r="DZS78" s="262"/>
      <c r="DZT78" s="262"/>
      <c r="DZU78" s="262"/>
      <c r="DZV78" s="262"/>
      <c r="DZW78" s="262"/>
      <c r="DZX78" s="262"/>
      <c r="DZY78" s="262"/>
      <c r="DZZ78" s="262"/>
      <c r="EAA78" s="262"/>
      <c r="EAB78" s="262"/>
      <c r="EAC78" s="262"/>
      <c r="EAD78" s="262"/>
      <c r="EAE78" s="262"/>
      <c r="EAF78" s="262"/>
      <c r="EAG78" s="262"/>
      <c r="EAH78" s="262"/>
      <c r="EAI78" s="262"/>
      <c r="EAJ78" s="262"/>
      <c r="EAK78" s="262"/>
      <c r="EAL78" s="262"/>
      <c r="EAM78" s="262"/>
      <c r="EAN78" s="262"/>
      <c r="EAO78" s="262"/>
      <c r="EAP78" s="262"/>
      <c r="EAQ78" s="262"/>
      <c r="EAR78" s="262"/>
      <c r="EAS78" s="262"/>
      <c r="EAT78" s="262"/>
      <c r="EAU78" s="262"/>
      <c r="EAV78" s="262"/>
      <c r="EAW78" s="262"/>
      <c r="EAX78" s="262"/>
      <c r="EAY78" s="262"/>
      <c r="EAZ78" s="262"/>
      <c r="EBA78" s="262"/>
      <c r="EBB78" s="262"/>
      <c r="EBC78" s="262"/>
      <c r="EBD78" s="262"/>
      <c r="EBE78" s="262"/>
      <c r="EBF78" s="262"/>
      <c r="EBG78" s="262"/>
      <c r="EBH78" s="262"/>
      <c r="EBI78" s="262"/>
      <c r="EBJ78" s="262"/>
      <c r="EBK78" s="262"/>
      <c r="EBL78" s="262"/>
      <c r="EBM78" s="262"/>
      <c r="EBN78" s="262"/>
      <c r="EBO78" s="262"/>
      <c r="EBP78" s="262"/>
      <c r="EBQ78" s="262"/>
      <c r="EBR78" s="262"/>
      <c r="EBS78" s="262"/>
      <c r="EBT78" s="262"/>
      <c r="EBU78" s="262"/>
      <c r="EBV78" s="262"/>
      <c r="EBW78" s="262"/>
      <c r="EBX78" s="262"/>
      <c r="EBY78" s="262"/>
      <c r="EBZ78" s="262"/>
      <c r="ECA78" s="262"/>
      <c r="ECB78" s="262"/>
      <c r="ECC78" s="262"/>
      <c r="ECD78" s="262"/>
      <c r="ECE78" s="262"/>
      <c r="ECF78" s="262"/>
      <c r="ECG78" s="262"/>
      <c r="ECH78" s="262"/>
      <c r="ECI78" s="262"/>
      <c r="ECJ78" s="262"/>
      <c r="ECK78" s="262"/>
      <c r="ECL78" s="262"/>
      <c r="ECM78" s="262"/>
      <c r="ECN78" s="262"/>
      <c r="ECO78" s="262"/>
      <c r="ECP78" s="262"/>
      <c r="ECQ78" s="262"/>
      <c r="ECR78" s="262"/>
      <c r="ECS78" s="262"/>
      <c r="ECT78" s="262"/>
      <c r="ECU78" s="262"/>
      <c r="ECV78" s="262"/>
      <c r="ECW78" s="262"/>
      <c r="ECX78" s="262"/>
      <c r="ECY78" s="262"/>
      <c r="ECZ78" s="262"/>
      <c r="EDA78" s="262"/>
      <c r="EDB78" s="262"/>
      <c r="EDC78" s="262"/>
      <c r="EDD78" s="262"/>
      <c r="EDE78" s="262"/>
      <c r="EDF78" s="262"/>
      <c r="EDG78" s="262"/>
      <c r="EDH78" s="262"/>
      <c r="EDI78" s="262"/>
      <c r="EDJ78" s="262"/>
      <c r="EDK78" s="262"/>
      <c r="EDL78" s="262"/>
      <c r="EDM78" s="262"/>
      <c r="EDN78" s="262"/>
      <c r="EDO78" s="262"/>
      <c r="EDP78" s="262"/>
      <c r="EDQ78" s="262"/>
      <c r="EDR78" s="262"/>
      <c r="EDS78" s="262"/>
      <c r="EDT78" s="262"/>
      <c r="EDU78" s="262"/>
      <c r="EDV78" s="262"/>
      <c r="EDW78" s="262"/>
      <c r="EDX78" s="262"/>
      <c r="EDY78" s="262"/>
      <c r="EDZ78" s="262"/>
      <c r="EEA78" s="262"/>
      <c r="EEB78" s="262"/>
      <c r="EEC78" s="262"/>
      <c r="EED78" s="262"/>
      <c r="EEE78" s="262"/>
      <c r="EEF78" s="262"/>
      <c r="EEG78" s="262"/>
      <c r="EEH78" s="262"/>
      <c r="EEI78" s="262"/>
      <c r="EEJ78" s="262"/>
      <c r="EEK78" s="262"/>
      <c r="EEL78" s="262"/>
      <c r="EEM78" s="262"/>
      <c r="EEN78" s="262"/>
      <c r="EEO78" s="262"/>
      <c r="EEP78" s="262"/>
      <c r="EEQ78" s="262"/>
      <c r="EER78" s="262"/>
      <c r="EES78" s="262"/>
      <c r="EET78" s="262"/>
      <c r="EEU78" s="262"/>
      <c r="EEV78" s="262"/>
      <c r="EEW78" s="262"/>
      <c r="EEX78" s="262"/>
      <c r="EEY78" s="262"/>
      <c r="EEZ78" s="262"/>
      <c r="EFA78" s="262"/>
      <c r="EFB78" s="262"/>
      <c r="EFC78" s="262"/>
      <c r="EFD78" s="262"/>
      <c r="EFE78" s="262"/>
      <c r="EFF78" s="262"/>
      <c r="EFG78" s="262"/>
      <c r="EFH78" s="262"/>
      <c r="EFI78" s="262"/>
      <c r="EFJ78" s="262"/>
      <c r="EFK78" s="262"/>
      <c r="EFL78" s="262"/>
      <c r="EFM78" s="262"/>
      <c r="EFN78" s="262"/>
      <c r="EFO78" s="262"/>
      <c r="EFP78" s="262"/>
      <c r="EFQ78" s="262"/>
      <c r="EFR78" s="262"/>
      <c r="EFS78" s="262"/>
      <c r="EFT78" s="262"/>
      <c r="EFU78" s="262"/>
      <c r="EFV78" s="262"/>
      <c r="EFW78" s="262"/>
      <c r="EFX78" s="262"/>
      <c r="EFY78" s="262"/>
      <c r="EFZ78" s="262"/>
      <c r="EGA78" s="262"/>
      <c r="EGB78" s="262"/>
      <c r="EGC78" s="262"/>
      <c r="EGD78" s="262"/>
      <c r="EGE78" s="262"/>
      <c r="EGF78" s="262"/>
      <c r="EGG78" s="262"/>
      <c r="EGH78" s="262"/>
      <c r="EGI78" s="262"/>
      <c r="EGJ78" s="262"/>
      <c r="EGK78" s="262"/>
      <c r="EGL78" s="262"/>
      <c r="EGM78" s="262"/>
      <c r="EGN78" s="262"/>
      <c r="EGO78" s="262"/>
      <c r="EGP78" s="262"/>
      <c r="EGQ78" s="262"/>
      <c r="EGR78" s="262"/>
      <c r="EGS78" s="262"/>
      <c r="EGT78" s="262"/>
      <c r="EGU78" s="262"/>
      <c r="EGV78" s="262"/>
      <c r="EGW78" s="262"/>
      <c r="EGX78" s="262"/>
      <c r="EGY78" s="262"/>
      <c r="EGZ78" s="262"/>
      <c r="EHA78" s="262"/>
      <c r="EHB78" s="262"/>
      <c r="EHC78" s="262"/>
      <c r="EHD78" s="262"/>
      <c r="EHE78" s="262"/>
      <c r="EHF78" s="262"/>
      <c r="EHG78" s="262"/>
      <c r="EHH78" s="262"/>
      <c r="EHI78" s="262"/>
      <c r="EHJ78" s="262"/>
      <c r="EHK78" s="262"/>
      <c r="EHL78" s="262"/>
      <c r="EHM78" s="262"/>
      <c r="EHN78" s="262"/>
      <c r="EHO78" s="262"/>
      <c r="EHP78" s="262"/>
      <c r="EHQ78" s="262"/>
      <c r="EHR78" s="262"/>
      <c r="EHS78" s="262"/>
      <c r="EHT78" s="262"/>
      <c r="EHU78" s="262"/>
      <c r="EHV78" s="262"/>
      <c r="EHW78" s="262"/>
      <c r="EHX78" s="262"/>
      <c r="EHY78" s="262"/>
      <c r="EHZ78" s="262"/>
      <c r="EIA78" s="262"/>
      <c r="EIB78" s="262"/>
      <c r="EIC78" s="262"/>
      <c r="EID78" s="262"/>
      <c r="EIE78" s="262"/>
      <c r="EIF78" s="262"/>
      <c r="EIG78" s="262"/>
      <c r="EIH78" s="262"/>
      <c r="EII78" s="262"/>
      <c r="EIJ78" s="262"/>
      <c r="EIK78" s="262"/>
      <c r="EIL78" s="262"/>
      <c r="EIM78" s="262"/>
      <c r="EIN78" s="262"/>
      <c r="EIO78" s="262"/>
      <c r="EIP78" s="262"/>
      <c r="EIQ78" s="262"/>
      <c r="EIR78" s="262"/>
      <c r="EIS78" s="262"/>
      <c r="EIT78" s="262"/>
      <c r="EIU78" s="262"/>
      <c r="EIV78" s="262"/>
      <c r="EIW78" s="262"/>
      <c r="EIX78" s="262"/>
      <c r="EIY78" s="262"/>
      <c r="EIZ78" s="262"/>
      <c r="EJA78" s="262"/>
      <c r="EJB78" s="262"/>
      <c r="EJC78" s="262"/>
      <c r="EJD78" s="262"/>
      <c r="EJE78" s="262"/>
      <c r="EJF78" s="262"/>
      <c r="EJG78" s="262"/>
      <c r="EJH78" s="262"/>
      <c r="EJI78" s="262"/>
      <c r="EJJ78" s="262"/>
      <c r="EJK78" s="262"/>
      <c r="EJL78" s="262"/>
      <c r="EJM78" s="262"/>
      <c r="EJN78" s="262"/>
      <c r="EJO78" s="262"/>
      <c r="EJP78" s="262"/>
      <c r="EJQ78" s="262"/>
      <c r="EJR78" s="262"/>
      <c r="EJS78" s="262"/>
      <c r="EJT78" s="262"/>
      <c r="EJU78" s="262"/>
      <c r="EJV78" s="262"/>
      <c r="EJW78" s="262"/>
      <c r="EJX78" s="262"/>
      <c r="EJY78" s="262"/>
      <c r="EJZ78" s="262"/>
      <c r="EKA78" s="262"/>
      <c r="EKB78" s="262"/>
      <c r="EKC78" s="262"/>
      <c r="EKD78" s="262"/>
      <c r="EKE78" s="262"/>
      <c r="EKF78" s="262"/>
      <c r="EKG78" s="262"/>
      <c r="EKH78" s="262"/>
      <c r="EKI78" s="262"/>
      <c r="EKJ78" s="262"/>
      <c r="EKK78" s="262"/>
      <c r="EKL78" s="262"/>
      <c r="EKM78" s="262"/>
      <c r="EKN78" s="262"/>
      <c r="EKO78" s="262"/>
      <c r="EKP78" s="262"/>
      <c r="EKQ78" s="262"/>
      <c r="EKR78" s="262"/>
      <c r="EKS78" s="262"/>
      <c r="EKT78" s="262"/>
      <c r="EKU78" s="262"/>
      <c r="EKV78" s="262"/>
      <c r="EKW78" s="262"/>
      <c r="EKX78" s="262"/>
      <c r="EKY78" s="262"/>
      <c r="EKZ78" s="262"/>
      <c r="ELA78" s="262"/>
      <c r="ELB78" s="262"/>
      <c r="ELC78" s="262"/>
      <c r="ELD78" s="262"/>
      <c r="ELE78" s="262"/>
      <c r="ELF78" s="262"/>
      <c r="ELG78" s="262"/>
      <c r="ELH78" s="262"/>
      <c r="ELI78" s="262"/>
      <c r="ELJ78" s="262"/>
      <c r="ELK78" s="262"/>
      <c r="ELL78" s="262"/>
      <c r="ELM78" s="262"/>
      <c r="ELN78" s="262"/>
      <c r="ELO78" s="262"/>
      <c r="ELP78" s="262"/>
      <c r="ELQ78" s="262"/>
      <c r="ELR78" s="262"/>
      <c r="ELS78" s="262"/>
      <c r="ELT78" s="262"/>
      <c r="ELU78" s="262"/>
      <c r="ELV78" s="262"/>
      <c r="ELW78" s="262"/>
      <c r="ELX78" s="262"/>
      <c r="ELY78" s="262"/>
      <c r="ELZ78" s="262"/>
      <c r="EMA78" s="262"/>
      <c r="EMB78" s="262"/>
      <c r="EMC78" s="262"/>
      <c r="EMD78" s="262"/>
      <c r="EME78" s="262"/>
      <c r="EMF78" s="262"/>
      <c r="EMG78" s="262"/>
      <c r="EMH78" s="262"/>
      <c r="EMI78" s="262"/>
      <c r="EMJ78" s="262"/>
      <c r="EMK78" s="262"/>
      <c r="EML78" s="262"/>
      <c r="EMM78" s="262"/>
      <c r="EMN78" s="262"/>
      <c r="EMO78" s="262"/>
      <c r="EMP78" s="262"/>
      <c r="EMQ78" s="262"/>
      <c r="EMR78" s="262"/>
      <c r="EMS78" s="262"/>
      <c r="EMT78" s="262"/>
      <c r="EMU78" s="262"/>
      <c r="EMV78" s="262"/>
      <c r="EMW78" s="262"/>
      <c r="EMX78" s="262"/>
      <c r="EMY78" s="262"/>
      <c r="EMZ78" s="262"/>
      <c r="ENA78" s="262"/>
      <c r="ENB78" s="262"/>
      <c r="ENC78" s="262"/>
      <c r="END78" s="262"/>
      <c r="ENE78" s="262"/>
      <c r="ENF78" s="262"/>
      <c r="ENG78" s="262"/>
      <c r="ENH78" s="262"/>
      <c r="ENI78" s="262"/>
      <c r="ENJ78" s="262"/>
      <c r="ENK78" s="262"/>
      <c r="ENL78" s="262"/>
      <c r="ENM78" s="262"/>
      <c r="ENN78" s="262"/>
      <c r="ENO78" s="262"/>
      <c r="ENP78" s="262"/>
      <c r="ENQ78" s="262"/>
      <c r="ENR78" s="262"/>
      <c r="ENS78" s="262"/>
      <c r="ENT78" s="262"/>
      <c r="ENU78" s="262"/>
      <c r="ENV78" s="262"/>
      <c r="ENW78" s="262"/>
      <c r="ENX78" s="262"/>
      <c r="ENY78" s="262"/>
      <c r="ENZ78" s="262"/>
      <c r="EOA78" s="262"/>
      <c r="EOB78" s="262"/>
      <c r="EOC78" s="262"/>
      <c r="EOD78" s="262"/>
      <c r="EOE78" s="262"/>
      <c r="EOF78" s="262"/>
      <c r="EOG78" s="262"/>
      <c r="EOH78" s="262"/>
      <c r="EOI78" s="262"/>
      <c r="EOJ78" s="262"/>
      <c r="EOK78" s="262"/>
      <c r="EOL78" s="262"/>
      <c r="EOM78" s="262"/>
      <c r="EON78" s="262"/>
      <c r="EOO78" s="262"/>
      <c r="EOP78" s="262"/>
      <c r="EOQ78" s="262"/>
      <c r="EOR78" s="262"/>
      <c r="EOS78" s="262"/>
      <c r="EOT78" s="262"/>
      <c r="EOU78" s="262"/>
      <c r="EOV78" s="262"/>
      <c r="EOW78" s="262"/>
      <c r="EOX78" s="262"/>
      <c r="EOY78" s="262"/>
      <c r="EOZ78" s="262"/>
      <c r="EPA78" s="262"/>
      <c r="EPB78" s="262"/>
      <c r="EPC78" s="262"/>
      <c r="EPD78" s="262"/>
      <c r="EPE78" s="262"/>
      <c r="EPF78" s="262"/>
      <c r="EPG78" s="262"/>
      <c r="EPH78" s="262"/>
      <c r="EPI78" s="262"/>
      <c r="EPJ78" s="262"/>
      <c r="EPK78" s="262"/>
      <c r="EPL78" s="262"/>
      <c r="EPM78" s="262"/>
      <c r="EPN78" s="262"/>
      <c r="EPO78" s="262"/>
      <c r="EPP78" s="262"/>
      <c r="EPQ78" s="262"/>
      <c r="EPR78" s="262"/>
      <c r="EPS78" s="262"/>
      <c r="EPT78" s="262"/>
      <c r="EPU78" s="262"/>
      <c r="EPV78" s="262"/>
      <c r="EPW78" s="262"/>
      <c r="EPX78" s="262"/>
      <c r="EPY78" s="262"/>
      <c r="EPZ78" s="262"/>
      <c r="EQA78" s="262"/>
      <c r="EQB78" s="262"/>
      <c r="EQC78" s="262"/>
      <c r="EQD78" s="262"/>
      <c r="EQE78" s="262"/>
      <c r="EQF78" s="262"/>
      <c r="EQG78" s="262"/>
      <c r="EQH78" s="262"/>
      <c r="EQI78" s="262"/>
      <c r="EQJ78" s="262"/>
      <c r="EQK78" s="262"/>
      <c r="EQL78" s="262"/>
      <c r="EQM78" s="262"/>
      <c r="EQN78" s="262"/>
      <c r="EQO78" s="262"/>
      <c r="EQP78" s="262"/>
      <c r="EQQ78" s="262"/>
      <c r="EQR78" s="262"/>
      <c r="EQS78" s="262"/>
      <c r="EQT78" s="262"/>
      <c r="EQU78" s="262"/>
      <c r="EQV78" s="262"/>
      <c r="EQW78" s="262"/>
      <c r="EQX78" s="262"/>
      <c r="EQY78" s="262"/>
      <c r="EQZ78" s="262"/>
      <c r="ERA78" s="262"/>
      <c r="ERB78" s="262"/>
      <c r="ERC78" s="262"/>
      <c r="ERD78" s="262"/>
      <c r="ERE78" s="262"/>
      <c r="ERF78" s="262"/>
      <c r="ERG78" s="262"/>
      <c r="ERH78" s="262"/>
      <c r="ERI78" s="262"/>
      <c r="ERJ78" s="262"/>
      <c r="ERK78" s="262"/>
      <c r="ERL78" s="262"/>
      <c r="ERM78" s="262"/>
      <c r="ERN78" s="262"/>
      <c r="ERO78" s="262"/>
      <c r="ERP78" s="262"/>
      <c r="ERQ78" s="262"/>
      <c r="ERR78" s="262"/>
      <c r="ERS78" s="262"/>
      <c r="ERT78" s="262"/>
      <c r="ERU78" s="262"/>
      <c r="ERV78" s="262"/>
      <c r="ERW78" s="262"/>
      <c r="ERX78" s="262"/>
      <c r="ERY78" s="262"/>
      <c r="ERZ78" s="262"/>
      <c r="ESA78" s="262"/>
      <c r="ESB78" s="262"/>
      <c r="ESC78" s="262"/>
      <c r="ESD78" s="262"/>
      <c r="ESE78" s="262"/>
      <c r="ESF78" s="262"/>
      <c r="ESG78" s="262"/>
      <c r="ESH78" s="262"/>
      <c r="ESI78" s="262"/>
      <c r="ESJ78" s="262"/>
      <c r="ESK78" s="262"/>
      <c r="ESL78" s="262"/>
      <c r="ESM78" s="262"/>
      <c r="ESN78" s="262"/>
      <c r="ESO78" s="262"/>
      <c r="ESP78" s="262"/>
      <c r="ESQ78" s="262"/>
      <c r="ESR78" s="262"/>
      <c r="ESS78" s="262"/>
      <c r="EST78" s="262"/>
      <c r="ESU78" s="262"/>
      <c r="ESV78" s="262"/>
      <c r="ESW78" s="262"/>
      <c r="ESX78" s="262"/>
      <c r="ESY78" s="262"/>
      <c r="ESZ78" s="262"/>
      <c r="ETA78" s="262"/>
      <c r="ETB78" s="262"/>
      <c r="ETC78" s="262"/>
      <c r="ETD78" s="262"/>
      <c r="ETE78" s="262"/>
      <c r="ETF78" s="262"/>
      <c r="ETG78" s="262"/>
      <c r="ETH78" s="262"/>
      <c r="ETI78" s="262"/>
      <c r="ETJ78" s="262"/>
      <c r="ETK78" s="262"/>
      <c r="ETL78" s="262"/>
      <c r="ETM78" s="262"/>
      <c r="ETN78" s="262"/>
      <c r="ETO78" s="262"/>
      <c r="ETP78" s="262"/>
      <c r="ETQ78" s="262"/>
      <c r="ETR78" s="262"/>
      <c r="ETS78" s="262"/>
      <c r="ETT78" s="262"/>
      <c r="ETU78" s="262"/>
      <c r="ETV78" s="262"/>
      <c r="ETW78" s="262"/>
      <c r="ETX78" s="262"/>
      <c r="ETY78" s="262"/>
      <c r="ETZ78" s="262"/>
      <c r="EUA78" s="262"/>
      <c r="EUB78" s="262"/>
      <c r="EUC78" s="262"/>
      <c r="EUD78" s="262"/>
      <c r="EUE78" s="262"/>
      <c r="EUF78" s="262"/>
      <c r="EUG78" s="262"/>
      <c r="EUH78" s="262"/>
      <c r="EUI78" s="262"/>
      <c r="EUJ78" s="262"/>
      <c r="EUK78" s="262"/>
      <c r="EUL78" s="262"/>
      <c r="EUM78" s="262"/>
      <c r="EUN78" s="262"/>
      <c r="EUO78" s="262"/>
      <c r="EUP78" s="262"/>
      <c r="EUQ78" s="262"/>
      <c r="EUR78" s="262"/>
      <c r="EUS78" s="262"/>
      <c r="EUT78" s="262"/>
      <c r="EUU78" s="262"/>
      <c r="EUV78" s="262"/>
      <c r="EUW78" s="262"/>
      <c r="EUX78" s="262"/>
      <c r="EUY78" s="262"/>
      <c r="EUZ78" s="262"/>
      <c r="EVA78" s="262"/>
      <c r="EVB78" s="262"/>
      <c r="EVC78" s="262"/>
      <c r="EVD78" s="262"/>
      <c r="EVE78" s="262"/>
      <c r="EVF78" s="262"/>
      <c r="EVG78" s="262"/>
      <c r="EVH78" s="262"/>
      <c r="EVI78" s="262"/>
      <c r="EVJ78" s="262"/>
      <c r="EVK78" s="262"/>
      <c r="EVL78" s="262"/>
      <c r="EVM78" s="262"/>
      <c r="EVN78" s="262"/>
      <c r="EVO78" s="262"/>
      <c r="EVP78" s="262"/>
      <c r="EVQ78" s="262"/>
      <c r="EVR78" s="262"/>
      <c r="EVS78" s="262"/>
      <c r="EVT78" s="262"/>
      <c r="EVU78" s="262"/>
      <c r="EVV78" s="262"/>
      <c r="EVW78" s="262"/>
      <c r="EVX78" s="262"/>
      <c r="EVY78" s="262"/>
      <c r="EVZ78" s="262"/>
      <c r="EWA78" s="262"/>
      <c r="EWB78" s="262"/>
      <c r="EWC78" s="262"/>
      <c r="EWD78" s="262"/>
      <c r="EWE78" s="262"/>
      <c r="EWF78" s="262"/>
      <c r="EWG78" s="262"/>
      <c r="EWH78" s="262"/>
      <c r="EWI78" s="262"/>
      <c r="EWJ78" s="262"/>
      <c r="EWK78" s="262"/>
      <c r="EWL78" s="262"/>
      <c r="EWM78" s="262"/>
      <c r="EWN78" s="262"/>
      <c r="EWO78" s="262"/>
      <c r="EWP78" s="262"/>
      <c r="EWQ78" s="262"/>
      <c r="EWR78" s="262"/>
      <c r="EWS78" s="262"/>
      <c r="EWT78" s="262"/>
      <c r="EWU78" s="262"/>
      <c r="EWV78" s="262"/>
      <c r="EWW78" s="262"/>
      <c r="EWX78" s="262"/>
      <c r="EWY78" s="262"/>
      <c r="EWZ78" s="262"/>
      <c r="EXA78" s="262"/>
      <c r="EXB78" s="262"/>
      <c r="EXC78" s="262"/>
      <c r="EXD78" s="262"/>
      <c r="EXE78" s="262"/>
      <c r="EXF78" s="262"/>
      <c r="EXG78" s="262"/>
      <c r="EXH78" s="262"/>
      <c r="EXI78" s="262"/>
      <c r="EXJ78" s="262"/>
      <c r="EXK78" s="262"/>
      <c r="EXL78" s="262"/>
      <c r="EXM78" s="262"/>
      <c r="EXN78" s="262"/>
      <c r="EXO78" s="262"/>
      <c r="EXP78" s="262"/>
      <c r="EXQ78" s="262"/>
      <c r="EXR78" s="262"/>
      <c r="EXS78" s="262"/>
      <c r="EXT78" s="262"/>
      <c r="EXU78" s="262"/>
      <c r="EXV78" s="262"/>
      <c r="EXW78" s="262"/>
      <c r="EXX78" s="262"/>
      <c r="EXY78" s="262"/>
      <c r="EXZ78" s="262"/>
      <c r="EYA78" s="262"/>
      <c r="EYB78" s="262"/>
      <c r="EYC78" s="262"/>
      <c r="EYD78" s="262"/>
      <c r="EYE78" s="262"/>
      <c r="EYF78" s="262"/>
      <c r="EYG78" s="262"/>
      <c r="EYH78" s="262"/>
      <c r="EYI78" s="262"/>
      <c r="EYJ78" s="262"/>
      <c r="EYK78" s="262"/>
      <c r="EYL78" s="262"/>
      <c r="EYM78" s="262"/>
      <c r="EYN78" s="262"/>
      <c r="EYO78" s="262"/>
      <c r="EYP78" s="262"/>
      <c r="EYQ78" s="262"/>
      <c r="EYR78" s="262"/>
      <c r="EYS78" s="262"/>
      <c r="EYT78" s="262"/>
      <c r="EYU78" s="262"/>
      <c r="EYV78" s="262"/>
      <c r="EYW78" s="262"/>
      <c r="EYX78" s="262"/>
      <c r="EYY78" s="262"/>
      <c r="EYZ78" s="262"/>
      <c r="EZA78" s="262"/>
      <c r="EZB78" s="262"/>
      <c r="EZC78" s="262"/>
      <c r="EZD78" s="262"/>
      <c r="EZE78" s="262"/>
      <c r="EZF78" s="262"/>
      <c r="EZG78" s="262"/>
      <c r="EZH78" s="262"/>
      <c r="EZI78" s="262"/>
      <c r="EZJ78" s="262"/>
      <c r="EZK78" s="262"/>
      <c r="EZL78" s="262"/>
      <c r="EZM78" s="262"/>
      <c r="EZN78" s="262"/>
      <c r="EZO78" s="262"/>
      <c r="EZP78" s="262"/>
      <c r="EZQ78" s="262"/>
      <c r="EZR78" s="262"/>
      <c r="EZS78" s="262"/>
      <c r="EZT78" s="262"/>
      <c r="EZU78" s="262"/>
      <c r="EZV78" s="262"/>
      <c r="EZW78" s="262"/>
      <c r="EZX78" s="262"/>
      <c r="EZY78" s="262"/>
      <c r="EZZ78" s="262"/>
      <c r="FAA78" s="262"/>
      <c r="FAB78" s="262"/>
      <c r="FAC78" s="262"/>
      <c r="FAD78" s="262"/>
      <c r="FAE78" s="262"/>
      <c r="FAF78" s="262"/>
      <c r="FAG78" s="262"/>
      <c r="FAH78" s="262"/>
      <c r="FAI78" s="262"/>
      <c r="FAJ78" s="262"/>
      <c r="FAK78" s="262"/>
      <c r="FAL78" s="262"/>
      <c r="FAM78" s="262"/>
      <c r="FAN78" s="262"/>
      <c r="FAO78" s="262"/>
      <c r="FAP78" s="262"/>
      <c r="FAQ78" s="262"/>
      <c r="FAR78" s="262"/>
      <c r="FAS78" s="262"/>
      <c r="FAT78" s="262"/>
      <c r="FAU78" s="262"/>
      <c r="FAV78" s="262"/>
      <c r="FAW78" s="262"/>
      <c r="FAX78" s="262"/>
      <c r="FAY78" s="262"/>
      <c r="FAZ78" s="262"/>
      <c r="FBA78" s="262"/>
      <c r="FBB78" s="262"/>
      <c r="FBC78" s="262"/>
      <c r="FBD78" s="262"/>
      <c r="FBE78" s="262"/>
      <c r="FBF78" s="262"/>
      <c r="FBG78" s="262"/>
      <c r="FBH78" s="262"/>
      <c r="FBI78" s="262"/>
      <c r="FBJ78" s="262"/>
      <c r="FBK78" s="262"/>
      <c r="FBL78" s="262"/>
      <c r="FBM78" s="262"/>
      <c r="FBN78" s="262"/>
      <c r="FBO78" s="262"/>
      <c r="FBP78" s="262"/>
      <c r="FBQ78" s="262"/>
      <c r="FBR78" s="262"/>
      <c r="FBS78" s="262"/>
      <c r="FBT78" s="262"/>
      <c r="FBU78" s="262"/>
      <c r="FBV78" s="262"/>
      <c r="FBW78" s="262"/>
      <c r="FBX78" s="262"/>
      <c r="FBY78" s="262"/>
      <c r="FBZ78" s="262"/>
      <c r="FCA78" s="262"/>
      <c r="FCB78" s="262"/>
      <c r="FCC78" s="262"/>
      <c r="FCD78" s="262"/>
      <c r="FCE78" s="262"/>
      <c r="FCF78" s="262"/>
      <c r="FCG78" s="262"/>
      <c r="FCH78" s="262"/>
      <c r="FCI78" s="262"/>
      <c r="FCJ78" s="262"/>
      <c r="FCK78" s="262"/>
      <c r="FCL78" s="262"/>
      <c r="FCM78" s="262"/>
      <c r="FCN78" s="262"/>
      <c r="FCO78" s="262"/>
      <c r="FCP78" s="262"/>
      <c r="FCQ78" s="262"/>
      <c r="FCR78" s="262"/>
      <c r="FCS78" s="262"/>
      <c r="FCT78" s="262"/>
      <c r="FCU78" s="262"/>
      <c r="FCV78" s="262"/>
      <c r="FCW78" s="262"/>
      <c r="FCX78" s="262"/>
      <c r="FCY78" s="262"/>
      <c r="FCZ78" s="262"/>
      <c r="FDA78" s="262"/>
      <c r="FDB78" s="262"/>
      <c r="FDC78" s="262"/>
      <c r="FDD78" s="262"/>
      <c r="FDE78" s="262"/>
      <c r="FDF78" s="262"/>
      <c r="FDG78" s="262"/>
      <c r="FDH78" s="262"/>
      <c r="FDI78" s="262"/>
      <c r="FDJ78" s="262"/>
      <c r="FDK78" s="262"/>
      <c r="FDL78" s="262"/>
      <c r="FDM78" s="262"/>
      <c r="FDN78" s="262"/>
      <c r="FDO78" s="262"/>
      <c r="FDP78" s="262"/>
      <c r="FDQ78" s="262"/>
      <c r="FDR78" s="262"/>
      <c r="FDS78" s="262"/>
      <c r="FDT78" s="262"/>
      <c r="FDU78" s="262"/>
      <c r="FDV78" s="262"/>
      <c r="FDW78" s="262"/>
      <c r="FDX78" s="262"/>
      <c r="FDY78" s="262"/>
      <c r="FDZ78" s="262"/>
      <c r="FEA78" s="262"/>
      <c r="FEB78" s="262"/>
      <c r="FEC78" s="262"/>
      <c r="FED78" s="262"/>
      <c r="FEE78" s="262"/>
      <c r="FEF78" s="262"/>
      <c r="FEG78" s="262"/>
      <c r="FEH78" s="262"/>
      <c r="FEI78" s="262"/>
      <c r="FEJ78" s="262"/>
      <c r="FEK78" s="262"/>
      <c r="FEL78" s="262"/>
      <c r="FEM78" s="262"/>
      <c r="FEN78" s="262"/>
      <c r="FEO78" s="262"/>
      <c r="FEP78" s="262"/>
      <c r="FEQ78" s="262"/>
      <c r="FER78" s="262"/>
      <c r="FES78" s="262"/>
      <c r="FET78" s="262"/>
      <c r="FEU78" s="262"/>
      <c r="FEV78" s="262"/>
      <c r="FEW78" s="262"/>
      <c r="FEX78" s="262"/>
      <c r="FEY78" s="262"/>
      <c r="FEZ78" s="262"/>
      <c r="FFA78" s="262"/>
      <c r="FFB78" s="262"/>
      <c r="FFC78" s="262"/>
      <c r="FFD78" s="262"/>
      <c r="FFE78" s="262"/>
      <c r="FFF78" s="262"/>
      <c r="FFG78" s="262"/>
      <c r="FFH78" s="262"/>
      <c r="FFI78" s="262"/>
      <c r="FFJ78" s="262"/>
      <c r="FFK78" s="262"/>
      <c r="FFL78" s="262"/>
      <c r="FFM78" s="262"/>
      <c r="FFN78" s="262"/>
      <c r="FFO78" s="262"/>
      <c r="FFP78" s="262"/>
      <c r="FFQ78" s="262"/>
      <c r="FFR78" s="262"/>
      <c r="FFS78" s="262"/>
      <c r="FFT78" s="262"/>
      <c r="FFU78" s="262"/>
      <c r="FFV78" s="262"/>
      <c r="FFW78" s="262"/>
      <c r="FFX78" s="262"/>
      <c r="FFY78" s="262"/>
      <c r="FFZ78" s="262"/>
      <c r="FGA78" s="262"/>
      <c r="FGB78" s="262"/>
      <c r="FGC78" s="262"/>
      <c r="FGD78" s="262"/>
      <c r="FGE78" s="262"/>
      <c r="FGF78" s="262"/>
      <c r="FGG78" s="262"/>
      <c r="FGH78" s="262"/>
      <c r="FGI78" s="262"/>
      <c r="FGJ78" s="262"/>
      <c r="FGK78" s="262"/>
      <c r="FGL78" s="262"/>
      <c r="FGM78" s="262"/>
      <c r="FGN78" s="262"/>
      <c r="FGO78" s="262"/>
      <c r="FGP78" s="262"/>
      <c r="FGQ78" s="262"/>
      <c r="FGR78" s="262"/>
      <c r="FGS78" s="262"/>
      <c r="FGT78" s="262"/>
      <c r="FGU78" s="262"/>
      <c r="FGV78" s="262"/>
      <c r="FGW78" s="262"/>
      <c r="FGX78" s="262"/>
      <c r="FGY78" s="262"/>
      <c r="FGZ78" s="262"/>
      <c r="FHA78" s="262"/>
      <c r="FHB78" s="262"/>
      <c r="FHC78" s="262"/>
      <c r="FHD78" s="262"/>
      <c r="FHE78" s="262"/>
      <c r="FHF78" s="262"/>
      <c r="FHG78" s="262"/>
      <c r="FHH78" s="262"/>
      <c r="FHI78" s="262"/>
      <c r="FHJ78" s="262"/>
      <c r="FHK78" s="262"/>
      <c r="FHL78" s="262"/>
      <c r="FHM78" s="262"/>
      <c r="FHN78" s="262"/>
      <c r="FHO78" s="262"/>
      <c r="FHP78" s="262"/>
      <c r="FHQ78" s="262"/>
      <c r="FHR78" s="262"/>
      <c r="FHS78" s="262"/>
      <c r="FHT78" s="262"/>
      <c r="FHU78" s="262"/>
      <c r="FHV78" s="262"/>
      <c r="FHW78" s="262"/>
      <c r="FHX78" s="262"/>
      <c r="FHY78" s="262"/>
      <c r="FHZ78" s="262"/>
      <c r="FIA78" s="262"/>
      <c r="FIB78" s="262"/>
      <c r="FIC78" s="262"/>
      <c r="FID78" s="262"/>
      <c r="FIE78" s="262"/>
      <c r="FIF78" s="262"/>
      <c r="FIG78" s="262"/>
      <c r="FIH78" s="262"/>
      <c r="FII78" s="262"/>
      <c r="FIJ78" s="262"/>
      <c r="FIK78" s="262"/>
      <c r="FIL78" s="262"/>
      <c r="FIM78" s="262"/>
      <c r="FIN78" s="262"/>
      <c r="FIO78" s="262"/>
      <c r="FIP78" s="262"/>
      <c r="FIQ78" s="262"/>
      <c r="FIR78" s="262"/>
      <c r="FIS78" s="262"/>
      <c r="FIT78" s="262"/>
      <c r="FIU78" s="262"/>
      <c r="FIV78" s="262"/>
      <c r="FIW78" s="262"/>
      <c r="FIX78" s="262"/>
      <c r="FIY78" s="262"/>
      <c r="FIZ78" s="262"/>
      <c r="FJA78" s="262"/>
      <c r="FJB78" s="262"/>
      <c r="FJC78" s="262"/>
      <c r="FJD78" s="262"/>
      <c r="FJE78" s="262"/>
      <c r="FJF78" s="262"/>
      <c r="FJG78" s="262"/>
      <c r="FJH78" s="262"/>
      <c r="FJI78" s="262"/>
      <c r="FJJ78" s="262"/>
      <c r="FJK78" s="262"/>
      <c r="FJL78" s="262"/>
      <c r="FJM78" s="262"/>
      <c r="FJN78" s="262"/>
      <c r="FJO78" s="262"/>
      <c r="FJP78" s="262"/>
      <c r="FJQ78" s="262"/>
      <c r="FJR78" s="262"/>
      <c r="FJS78" s="262"/>
      <c r="FJT78" s="262"/>
      <c r="FJU78" s="262"/>
      <c r="FJV78" s="262"/>
      <c r="FJW78" s="262"/>
      <c r="FJX78" s="262"/>
      <c r="FJY78" s="262"/>
      <c r="FJZ78" s="262"/>
      <c r="FKA78" s="262"/>
      <c r="FKB78" s="262"/>
      <c r="FKC78" s="262"/>
      <c r="FKD78" s="262"/>
      <c r="FKE78" s="262"/>
      <c r="FKF78" s="262"/>
      <c r="FKG78" s="262"/>
      <c r="FKH78" s="262"/>
      <c r="FKI78" s="262"/>
      <c r="FKJ78" s="262"/>
      <c r="FKK78" s="262"/>
      <c r="FKL78" s="262"/>
      <c r="FKM78" s="262"/>
      <c r="FKN78" s="262"/>
      <c r="FKO78" s="262"/>
      <c r="FKP78" s="262"/>
      <c r="FKQ78" s="262"/>
      <c r="FKR78" s="262"/>
      <c r="FKS78" s="262"/>
      <c r="FKT78" s="262"/>
      <c r="FKU78" s="262"/>
      <c r="FKV78" s="262"/>
      <c r="FKW78" s="262"/>
      <c r="FKX78" s="262"/>
      <c r="FKY78" s="262"/>
      <c r="FKZ78" s="262"/>
      <c r="FLA78" s="262"/>
      <c r="FLB78" s="262"/>
      <c r="FLC78" s="262"/>
      <c r="FLD78" s="262"/>
      <c r="FLE78" s="262"/>
      <c r="FLF78" s="262"/>
      <c r="FLG78" s="262"/>
      <c r="FLH78" s="262"/>
      <c r="FLI78" s="262"/>
      <c r="FLJ78" s="262"/>
      <c r="FLK78" s="262"/>
      <c r="FLL78" s="262"/>
      <c r="FLM78" s="262"/>
      <c r="FLN78" s="262"/>
      <c r="FLO78" s="262"/>
      <c r="FLP78" s="262"/>
      <c r="FLQ78" s="262"/>
      <c r="FLR78" s="262"/>
      <c r="FLS78" s="262"/>
      <c r="FLT78" s="262"/>
      <c r="FLU78" s="262"/>
      <c r="FLV78" s="262"/>
      <c r="FLW78" s="262"/>
      <c r="FLX78" s="262"/>
      <c r="FLY78" s="262"/>
      <c r="FLZ78" s="262"/>
      <c r="FMA78" s="262"/>
      <c r="FMB78" s="262"/>
      <c r="FMC78" s="262"/>
      <c r="FMD78" s="262"/>
      <c r="FME78" s="262"/>
      <c r="FMF78" s="262"/>
      <c r="FMG78" s="262"/>
      <c r="FMH78" s="262"/>
      <c r="FMI78" s="262"/>
      <c r="FMJ78" s="262"/>
      <c r="FMK78" s="262"/>
      <c r="FML78" s="262"/>
      <c r="FMM78" s="262"/>
      <c r="FMN78" s="262"/>
      <c r="FMO78" s="262"/>
      <c r="FMP78" s="262"/>
      <c r="FMQ78" s="262"/>
      <c r="FMR78" s="262"/>
      <c r="FMS78" s="262"/>
      <c r="FMT78" s="262"/>
      <c r="FMU78" s="262"/>
      <c r="FMV78" s="262"/>
      <c r="FMW78" s="262"/>
      <c r="FMX78" s="262"/>
      <c r="FMY78" s="262"/>
      <c r="FMZ78" s="262"/>
      <c r="FNA78" s="262"/>
      <c r="FNB78" s="262"/>
      <c r="FNC78" s="262"/>
      <c r="FND78" s="262"/>
      <c r="FNE78" s="262"/>
      <c r="FNF78" s="262"/>
      <c r="FNG78" s="262"/>
      <c r="FNH78" s="262"/>
      <c r="FNI78" s="262"/>
      <c r="FNJ78" s="262"/>
      <c r="FNK78" s="262"/>
      <c r="FNL78" s="262"/>
      <c r="FNM78" s="262"/>
      <c r="FNN78" s="262"/>
      <c r="FNO78" s="262"/>
      <c r="FNP78" s="262"/>
      <c r="FNQ78" s="262"/>
      <c r="FNR78" s="262"/>
      <c r="FNS78" s="262"/>
      <c r="FNT78" s="262"/>
      <c r="FNU78" s="262"/>
      <c r="FNV78" s="262"/>
      <c r="FNW78" s="262"/>
      <c r="FNX78" s="262"/>
      <c r="FNY78" s="262"/>
      <c r="FNZ78" s="262"/>
      <c r="FOA78" s="262"/>
      <c r="FOB78" s="262"/>
      <c r="FOC78" s="262"/>
      <c r="FOD78" s="262"/>
      <c r="FOE78" s="262"/>
      <c r="FOF78" s="262"/>
      <c r="FOG78" s="262"/>
      <c r="FOH78" s="262"/>
      <c r="FOI78" s="262"/>
      <c r="FOJ78" s="262"/>
      <c r="FOK78" s="262"/>
      <c r="FOL78" s="262"/>
      <c r="FOM78" s="262"/>
      <c r="FON78" s="262"/>
      <c r="FOO78" s="262"/>
      <c r="FOP78" s="262"/>
      <c r="FOQ78" s="262"/>
      <c r="FOR78" s="262"/>
      <c r="FOS78" s="262"/>
      <c r="FOT78" s="262"/>
      <c r="FOU78" s="262"/>
      <c r="FOV78" s="262"/>
      <c r="FOW78" s="262"/>
      <c r="FOX78" s="262"/>
      <c r="FOY78" s="262"/>
      <c r="FOZ78" s="262"/>
      <c r="FPA78" s="262"/>
      <c r="FPB78" s="262"/>
      <c r="FPC78" s="262"/>
      <c r="FPD78" s="262"/>
      <c r="FPE78" s="262"/>
      <c r="FPF78" s="262"/>
      <c r="FPG78" s="262"/>
      <c r="FPH78" s="262"/>
      <c r="FPI78" s="262"/>
      <c r="FPJ78" s="262"/>
      <c r="FPK78" s="262"/>
      <c r="FPL78" s="262"/>
      <c r="FPM78" s="262"/>
      <c r="FPN78" s="262"/>
      <c r="FPO78" s="262"/>
      <c r="FPP78" s="262"/>
      <c r="FPQ78" s="262"/>
      <c r="FPR78" s="262"/>
      <c r="FPS78" s="262"/>
      <c r="FPT78" s="262"/>
      <c r="FPU78" s="262"/>
      <c r="FPV78" s="262"/>
      <c r="FPW78" s="262"/>
      <c r="FPX78" s="262"/>
      <c r="FPY78" s="262"/>
      <c r="FPZ78" s="262"/>
      <c r="FQA78" s="262"/>
      <c r="FQB78" s="262"/>
      <c r="FQC78" s="262"/>
      <c r="FQD78" s="262"/>
      <c r="FQE78" s="262"/>
      <c r="FQF78" s="262"/>
      <c r="FQG78" s="262"/>
      <c r="FQH78" s="262"/>
      <c r="FQI78" s="262"/>
      <c r="FQJ78" s="262"/>
      <c r="FQK78" s="262"/>
      <c r="FQL78" s="262"/>
      <c r="FQM78" s="262"/>
      <c r="FQN78" s="262"/>
      <c r="FQO78" s="262"/>
      <c r="FQP78" s="262"/>
      <c r="FQQ78" s="262"/>
      <c r="FQR78" s="262"/>
      <c r="FQS78" s="262"/>
      <c r="FQT78" s="262"/>
      <c r="FQU78" s="262"/>
      <c r="FQV78" s="262"/>
      <c r="FQW78" s="262"/>
      <c r="FQX78" s="262"/>
      <c r="FQY78" s="262"/>
      <c r="FQZ78" s="262"/>
      <c r="FRA78" s="262"/>
      <c r="FRB78" s="262"/>
      <c r="FRC78" s="262"/>
      <c r="FRD78" s="262"/>
      <c r="FRE78" s="262"/>
      <c r="FRF78" s="262"/>
      <c r="FRG78" s="262"/>
      <c r="FRH78" s="262"/>
      <c r="FRI78" s="262"/>
      <c r="FRJ78" s="262"/>
      <c r="FRK78" s="262"/>
      <c r="FRL78" s="262"/>
      <c r="FRM78" s="262"/>
      <c r="FRN78" s="262"/>
      <c r="FRO78" s="262"/>
      <c r="FRP78" s="262"/>
      <c r="FRQ78" s="262"/>
      <c r="FRR78" s="262"/>
      <c r="FRS78" s="262"/>
      <c r="FRT78" s="262"/>
      <c r="FRU78" s="262"/>
      <c r="FRV78" s="262"/>
      <c r="FRW78" s="262"/>
      <c r="FRX78" s="262"/>
      <c r="FRY78" s="262"/>
      <c r="FRZ78" s="262"/>
      <c r="FSA78" s="262"/>
      <c r="FSB78" s="262"/>
      <c r="FSC78" s="262"/>
      <c r="FSD78" s="262"/>
      <c r="FSE78" s="262"/>
      <c r="FSF78" s="262"/>
      <c r="FSG78" s="262"/>
      <c r="FSH78" s="262"/>
      <c r="FSI78" s="262"/>
      <c r="FSJ78" s="262"/>
      <c r="FSK78" s="262"/>
      <c r="FSL78" s="262"/>
      <c r="FSM78" s="262"/>
      <c r="FSN78" s="262"/>
      <c r="FSO78" s="262"/>
      <c r="FSP78" s="262"/>
      <c r="FSQ78" s="262"/>
      <c r="FSR78" s="262"/>
      <c r="FSS78" s="262"/>
      <c r="FST78" s="262"/>
      <c r="FSU78" s="262"/>
      <c r="FSV78" s="262"/>
      <c r="FSW78" s="262"/>
      <c r="FSX78" s="262"/>
      <c r="FSY78" s="262"/>
      <c r="FSZ78" s="262"/>
      <c r="FTA78" s="262"/>
      <c r="FTB78" s="262"/>
      <c r="FTC78" s="262"/>
      <c r="FTD78" s="262"/>
      <c r="FTE78" s="262"/>
      <c r="FTF78" s="262"/>
      <c r="FTG78" s="262"/>
      <c r="FTH78" s="262"/>
      <c r="FTI78" s="262"/>
      <c r="FTJ78" s="262"/>
      <c r="FTK78" s="262"/>
      <c r="FTL78" s="262"/>
      <c r="FTM78" s="262"/>
      <c r="FTN78" s="262"/>
      <c r="FTO78" s="262"/>
      <c r="FTP78" s="262"/>
      <c r="FTQ78" s="262"/>
      <c r="FTR78" s="262"/>
      <c r="FTS78" s="262"/>
      <c r="FTT78" s="262"/>
      <c r="FTU78" s="262"/>
      <c r="FTV78" s="262"/>
      <c r="FTW78" s="262"/>
      <c r="FTX78" s="262"/>
      <c r="FTY78" s="262"/>
      <c r="FTZ78" s="262"/>
      <c r="FUA78" s="262"/>
      <c r="FUB78" s="262"/>
      <c r="FUC78" s="262"/>
      <c r="FUD78" s="262"/>
      <c r="FUE78" s="262"/>
      <c r="FUF78" s="262"/>
      <c r="FUG78" s="262"/>
      <c r="FUH78" s="262"/>
      <c r="FUI78" s="262"/>
      <c r="FUJ78" s="262"/>
      <c r="FUK78" s="262"/>
      <c r="FUL78" s="262"/>
      <c r="FUM78" s="262"/>
      <c r="FUN78" s="262"/>
      <c r="FUO78" s="262"/>
      <c r="FUP78" s="262"/>
      <c r="FUQ78" s="262"/>
      <c r="FUR78" s="262"/>
      <c r="FUS78" s="262"/>
      <c r="FUT78" s="262"/>
      <c r="FUU78" s="262"/>
      <c r="FUV78" s="262"/>
      <c r="FUW78" s="262"/>
      <c r="FUX78" s="262"/>
      <c r="FUY78" s="262"/>
      <c r="FUZ78" s="262"/>
      <c r="FVA78" s="262"/>
      <c r="FVB78" s="262"/>
      <c r="FVC78" s="262"/>
      <c r="FVD78" s="262"/>
      <c r="FVE78" s="262"/>
      <c r="FVF78" s="262"/>
      <c r="FVG78" s="262"/>
      <c r="FVH78" s="262"/>
      <c r="FVI78" s="262"/>
      <c r="FVJ78" s="262"/>
      <c r="FVK78" s="262"/>
      <c r="FVL78" s="262"/>
      <c r="FVM78" s="262"/>
      <c r="FVN78" s="262"/>
      <c r="FVO78" s="262"/>
      <c r="FVP78" s="262"/>
      <c r="FVQ78" s="262"/>
      <c r="FVR78" s="262"/>
      <c r="FVS78" s="262"/>
      <c r="FVT78" s="262"/>
      <c r="FVU78" s="262"/>
      <c r="FVV78" s="262"/>
      <c r="FVW78" s="262"/>
      <c r="FVX78" s="262"/>
      <c r="FVY78" s="262"/>
      <c r="FVZ78" s="262"/>
      <c r="FWA78" s="262"/>
      <c r="FWB78" s="262"/>
      <c r="FWC78" s="262"/>
      <c r="FWD78" s="262"/>
      <c r="FWE78" s="262"/>
      <c r="FWF78" s="262"/>
      <c r="FWG78" s="262"/>
      <c r="FWH78" s="262"/>
      <c r="FWI78" s="262"/>
      <c r="FWJ78" s="262"/>
      <c r="FWK78" s="262"/>
      <c r="FWL78" s="262"/>
      <c r="FWM78" s="262"/>
      <c r="FWN78" s="262"/>
      <c r="FWO78" s="262"/>
      <c r="FWP78" s="262"/>
      <c r="FWQ78" s="262"/>
      <c r="FWR78" s="262"/>
      <c r="FWS78" s="262"/>
      <c r="FWT78" s="262"/>
      <c r="FWU78" s="262"/>
      <c r="FWV78" s="262"/>
      <c r="FWW78" s="262"/>
      <c r="FWX78" s="262"/>
      <c r="FWY78" s="262"/>
      <c r="FWZ78" s="262"/>
      <c r="FXA78" s="262"/>
      <c r="FXB78" s="262"/>
      <c r="FXC78" s="262"/>
      <c r="FXD78" s="262"/>
      <c r="FXE78" s="262"/>
      <c r="FXF78" s="262"/>
      <c r="FXG78" s="262"/>
      <c r="FXH78" s="262"/>
      <c r="FXI78" s="262"/>
      <c r="FXJ78" s="262"/>
      <c r="FXK78" s="262"/>
      <c r="FXL78" s="262"/>
      <c r="FXM78" s="262"/>
      <c r="FXN78" s="262"/>
      <c r="FXO78" s="262"/>
      <c r="FXP78" s="262"/>
      <c r="FXQ78" s="262"/>
      <c r="FXR78" s="262"/>
      <c r="FXS78" s="262"/>
      <c r="FXT78" s="262"/>
      <c r="FXU78" s="262"/>
      <c r="FXV78" s="262"/>
      <c r="FXW78" s="262"/>
      <c r="FXX78" s="262"/>
      <c r="FXY78" s="262"/>
      <c r="FXZ78" s="262"/>
      <c r="FYA78" s="262"/>
      <c r="FYB78" s="262"/>
      <c r="FYC78" s="262"/>
      <c r="FYD78" s="262"/>
      <c r="FYE78" s="262"/>
      <c r="FYF78" s="262"/>
      <c r="FYG78" s="262"/>
      <c r="FYH78" s="262"/>
      <c r="FYI78" s="262"/>
      <c r="FYJ78" s="262"/>
      <c r="FYK78" s="262"/>
      <c r="FYL78" s="262"/>
      <c r="FYM78" s="262"/>
      <c r="FYN78" s="262"/>
      <c r="FYO78" s="262"/>
      <c r="FYP78" s="262"/>
      <c r="FYQ78" s="262"/>
      <c r="FYR78" s="262"/>
      <c r="FYS78" s="262"/>
      <c r="FYT78" s="262"/>
      <c r="FYU78" s="262"/>
      <c r="FYV78" s="262"/>
      <c r="FYW78" s="262"/>
      <c r="FYX78" s="262"/>
      <c r="FYY78" s="262"/>
      <c r="FYZ78" s="262"/>
      <c r="FZA78" s="262"/>
      <c r="FZB78" s="262"/>
      <c r="FZC78" s="262"/>
      <c r="FZD78" s="262"/>
      <c r="FZE78" s="262"/>
      <c r="FZF78" s="262"/>
      <c r="FZG78" s="262"/>
      <c r="FZH78" s="262"/>
      <c r="FZI78" s="262"/>
      <c r="FZJ78" s="262"/>
      <c r="FZK78" s="262"/>
      <c r="FZL78" s="262"/>
      <c r="FZM78" s="262"/>
      <c r="FZN78" s="262"/>
      <c r="FZO78" s="262"/>
      <c r="FZP78" s="262"/>
      <c r="FZQ78" s="262"/>
      <c r="FZR78" s="262"/>
      <c r="FZS78" s="262"/>
      <c r="FZT78" s="262"/>
      <c r="FZU78" s="262"/>
      <c r="FZV78" s="262"/>
      <c r="FZW78" s="262"/>
      <c r="FZX78" s="262"/>
      <c r="FZY78" s="262"/>
      <c r="FZZ78" s="262"/>
      <c r="GAA78" s="262"/>
      <c r="GAB78" s="262"/>
      <c r="GAC78" s="262"/>
      <c r="GAD78" s="262"/>
      <c r="GAE78" s="262"/>
      <c r="GAF78" s="262"/>
      <c r="GAG78" s="262"/>
      <c r="GAH78" s="262"/>
      <c r="GAI78" s="262"/>
      <c r="GAJ78" s="262"/>
      <c r="GAK78" s="262"/>
      <c r="GAL78" s="262"/>
      <c r="GAM78" s="262"/>
      <c r="GAN78" s="262"/>
      <c r="GAO78" s="262"/>
      <c r="GAP78" s="262"/>
      <c r="GAQ78" s="262"/>
      <c r="GAR78" s="262"/>
      <c r="GAS78" s="262"/>
      <c r="GAT78" s="262"/>
      <c r="GAU78" s="262"/>
      <c r="GAV78" s="262"/>
      <c r="GAW78" s="262"/>
      <c r="GAX78" s="262"/>
      <c r="GAY78" s="262"/>
      <c r="GAZ78" s="262"/>
      <c r="GBA78" s="262"/>
      <c r="GBB78" s="262"/>
      <c r="GBC78" s="262"/>
      <c r="GBD78" s="262"/>
      <c r="GBE78" s="262"/>
      <c r="GBF78" s="262"/>
      <c r="GBG78" s="262"/>
      <c r="GBH78" s="262"/>
      <c r="GBI78" s="262"/>
      <c r="GBJ78" s="262"/>
      <c r="GBK78" s="262"/>
      <c r="GBL78" s="262"/>
      <c r="GBM78" s="262"/>
      <c r="GBN78" s="262"/>
      <c r="GBO78" s="262"/>
      <c r="GBP78" s="262"/>
      <c r="GBQ78" s="262"/>
      <c r="GBR78" s="262"/>
      <c r="GBS78" s="262"/>
      <c r="GBT78" s="262"/>
      <c r="GBU78" s="262"/>
      <c r="GBV78" s="262"/>
      <c r="GBW78" s="262"/>
      <c r="GBX78" s="262"/>
      <c r="GBY78" s="262"/>
      <c r="GBZ78" s="262"/>
      <c r="GCA78" s="262"/>
      <c r="GCB78" s="262"/>
      <c r="GCC78" s="262"/>
      <c r="GCD78" s="262"/>
      <c r="GCE78" s="262"/>
      <c r="GCF78" s="262"/>
      <c r="GCG78" s="262"/>
      <c r="GCH78" s="262"/>
      <c r="GCI78" s="262"/>
      <c r="GCJ78" s="262"/>
      <c r="GCK78" s="262"/>
      <c r="GCL78" s="262"/>
      <c r="GCM78" s="262"/>
      <c r="GCN78" s="262"/>
      <c r="GCO78" s="262"/>
      <c r="GCP78" s="262"/>
      <c r="GCQ78" s="262"/>
      <c r="GCR78" s="262"/>
      <c r="GCS78" s="262"/>
      <c r="GCT78" s="262"/>
      <c r="GCU78" s="262"/>
      <c r="GCV78" s="262"/>
      <c r="GCW78" s="262"/>
      <c r="GCX78" s="262"/>
      <c r="GCY78" s="262"/>
      <c r="GCZ78" s="262"/>
      <c r="GDA78" s="262"/>
      <c r="GDB78" s="262"/>
      <c r="GDC78" s="262"/>
      <c r="GDD78" s="262"/>
      <c r="GDE78" s="262"/>
      <c r="GDF78" s="262"/>
      <c r="GDG78" s="262"/>
      <c r="GDH78" s="262"/>
      <c r="GDI78" s="262"/>
      <c r="GDJ78" s="262"/>
      <c r="GDK78" s="262"/>
      <c r="GDL78" s="262"/>
      <c r="GDM78" s="262"/>
      <c r="GDN78" s="262"/>
      <c r="GDO78" s="262"/>
      <c r="GDP78" s="262"/>
      <c r="GDQ78" s="262"/>
      <c r="GDR78" s="262"/>
      <c r="GDS78" s="262"/>
      <c r="GDT78" s="262"/>
      <c r="GDU78" s="262"/>
      <c r="GDV78" s="262"/>
      <c r="GDW78" s="262"/>
      <c r="GDX78" s="262"/>
      <c r="GDY78" s="262"/>
      <c r="GDZ78" s="262"/>
      <c r="GEA78" s="262"/>
      <c r="GEB78" s="262"/>
      <c r="GEC78" s="262"/>
      <c r="GED78" s="262"/>
      <c r="GEE78" s="262"/>
      <c r="GEF78" s="262"/>
      <c r="GEG78" s="262"/>
      <c r="GEH78" s="262"/>
      <c r="GEI78" s="262"/>
      <c r="GEJ78" s="262"/>
      <c r="GEK78" s="262"/>
      <c r="GEL78" s="262"/>
      <c r="GEM78" s="262"/>
      <c r="GEN78" s="262"/>
      <c r="GEO78" s="262"/>
      <c r="GEP78" s="262"/>
      <c r="GEQ78" s="262"/>
      <c r="GER78" s="262"/>
      <c r="GES78" s="262"/>
      <c r="GET78" s="262"/>
      <c r="GEU78" s="262"/>
      <c r="GEV78" s="262"/>
      <c r="GEW78" s="262"/>
      <c r="GEX78" s="262"/>
      <c r="GEY78" s="262"/>
      <c r="GEZ78" s="262"/>
      <c r="GFA78" s="262"/>
      <c r="GFB78" s="262"/>
      <c r="GFC78" s="262"/>
      <c r="GFD78" s="262"/>
      <c r="GFE78" s="262"/>
      <c r="GFF78" s="262"/>
      <c r="GFG78" s="262"/>
      <c r="GFH78" s="262"/>
      <c r="GFI78" s="262"/>
      <c r="GFJ78" s="262"/>
      <c r="GFK78" s="262"/>
      <c r="GFL78" s="262"/>
      <c r="GFM78" s="262"/>
      <c r="GFN78" s="262"/>
      <c r="GFO78" s="262"/>
      <c r="GFP78" s="262"/>
      <c r="GFQ78" s="262"/>
      <c r="GFR78" s="262"/>
      <c r="GFS78" s="262"/>
      <c r="GFT78" s="262"/>
      <c r="GFU78" s="262"/>
      <c r="GFV78" s="262"/>
      <c r="GFW78" s="262"/>
      <c r="GFX78" s="262"/>
      <c r="GFY78" s="262"/>
      <c r="GFZ78" s="262"/>
      <c r="GGA78" s="262"/>
      <c r="GGB78" s="262"/>
      <c r="GGC78" s="262"/>
      <c r="GGD78" s="262"/>
      <c r="GGE78" s="262"/>
      <c r="GGF78" s="262"/>
      <c r="GGG78" s="262"/>
      <c r="GGH78" s="262"/>
      <c r="GGI78" s="262"/>
      <c r="GGJ78" s="262"/>
      <c r="GGK78" s="262"/>
      <c r="GGL78" s="262"/>
      <c r="GGM78" s="262"/>
      <c r="GGN78" s="262"/>
      <c r="GGO78" s="262"/>
      <c r="GGP78" s="262"/>
      <c r="GGQ78" s="262"/>
      <c r="GGR78" s="262"/>
      <c r="GGS78" s="262"/>
      <c r="GGT78" s="262"/>
      <c r="GGU78" s="262"/>
      <c r="GGV78" s="262"/>
      <c r="GGW78" s="262"/>
      <c r="GGX78" s="262"/>
      <c r="GGY78" s="262"/>
      <c r="GGZ78" s="262"/>
      <c r="GHA78" s="262"/>
      <c r="GHB78" s="262"/>
      <c r="GHC78" s="262"/>
      <c r="GHD78" s="262"/>
      <c r="GHE78" s="262"/>
      <c r="GHF78" s="262"/>
      <c r="GHG78" s="262"/>
      <c r="GHH78" s="262"/>
      <c r="GHI78" s="262"/>
      <c r="GHJ78" s="262"/>
      <c r="GHK78" s="262"/>
      <c r="GHL78" s="262"/>
      <c r="GHM78" s="262"/>
      <c r="GHN78" s="262"/>
      <c r="GHO78" s="262"/>
      <c r="GHP78" s="262"/>
      <c r="GHQ78" s="262"/>
      <c r="GHR78" s="262"/>
      <c r="GHS78" s="262"/>
      <c r="GHT78" s="262"/>
      <c r="GHU78" s="262"/>
      <c r="GHV78" s="262"/>
      <c r="GHW78" s="262"/>
      <c r="GHX78" s="262"/>
      <c r="GHY78" s="262"/>
      <c r="GHZ78" s="262"/>
      <c r="GIA78" s="262"/>
      <c r="GIB78" s="262"/>
      <c r="GIC78" s="262"/>
      <c r="GID78" s="262"/>
      <c r="GIE78" s="262"/>
      <c r="GIF78" s="262"/>
      <c r="GIG78" s="262"/>
      <c r="GIH78" s="262"/>
      <c r="GII78" s="262"/>
      <c r="GIJ78" s="262"/>
      <c r="GIK78" s="262"/>
      <c r="GIL78" s="262"/>
      <c r="GIM78" s="262"/>
      <c r="GIN78" s="262"/>
      <c r="GIO78" s="262"/>
      <c r="GIP78" s="262"/>
      <c r="GIQ78" s="262"/>
      <c r="GIR78" s="262"/>
      <c r="GIS78" s="262"/>
      <c r="GIT78" s="262"/>
      <c r="GIU78" s="262"/>
      <c r="GIV78" s="262"/>
      <c r="GIW78" s="262"/>
      <c r="GIX78" s="262"/>
      <c r="GIY78" s="262"/>
      <c r="GIZ78" s="262"/>
      <c r="GJA78" s="262"/>
      <c r="GJB78" s="262"/>
      <c r="GJC78" s="262"/>
      <c r="GJD78" s="262"/>
      <c r="GJE78" s="262"/>
      <c r="GJF78" s="262"/>
      <c r="GJG78" s="262"/>
      <c r="GJH78" s="262"/>
      <c r="GJI78" s="262"/>
      <c r="GJJ78" s="262"/>
      <c r="GJK78" s="262"/>
      <c r="GJL78" s="262"/>
      <c r="GJM78" s="262"/>
      <c r="GJN78" s="262"/>
      <c r="GJO78" s="262"/>
      <c r="GJP78" s="262"/>
      <c r="GJQ78" s="262"/>
      <c r="GJR78" s="262"/>
      <c r="GJS78" s="262"/>
      <c r="GJT78" s="262"/>
      <c r="GJU78" s="262"/>
      <c r="GJV78" s="262"/>
      <c r="GJW78" s="262"/>
      <c r="GJX78" s="262"/>
      <c r="GJY78" s="262"/>
      <c r="GJZ78" s="262"/>
      <c r="GKA78" s="262"/>
      <c r="GKB78" s="262"/>
      <c r="GKC78" s="262"/>
      <c r="GKD78" s="262"/>
      <c r="GKE78" s="262"/>
      <c r="GKF78" s="262"/>
      <c r="GKG78" s="262"/>
      <c r="GKH78" s="262"/>
      <c r="GKI78" s="262"/>
      <c r="GKJ78" s="262"/>
      <c r="GKK78" s="262"/>
      <c r="GKL78" s="262"/>
      <c r="GKM78" s="262"/>
      <c r="GKN78" s="262"/>
      <c r="GKO78" s="262"/>
      <c r="GKP78" s="262"/>
      <c r="GKQ78" s="262"/>
      <c r="GKR78" s="262"/>
      <c r="GKS78" s="262"/>
      <c r="GKT78" s="262"/>
      <c r="GKU78" s="262"/>
      <c r="GKV78" s="262"/>
      <c r="GKW78" s="262"/>
      <c r="GKX78" s="262"/>
      <c r="GKY78" s="262"/>
      <c r="GKZ78" s="262"/>
      <c r="GLA78" s="262"/>
      <c r="GLB78" s="262"/>
      <c r="GLC78" s="262"/>
      <c r="GLD78" s="262"/>
      <c r="GLE78" s="262"/>
      <c r="GLF78" s="262"/>
      <c r="GLG78" s="262"/>
      <c r="GLH78" s="262"/>
      <c r="GLI78" s="262"/>
      <c r="GLJ78" s="262"/>
      <c r="GLK78" s="262"/>
      <c r="GLL78" s="262"/>
      <c r="GLM78" s="262"/>
      <c r="GLN78" s="262"/>
      <c r="GLO78" s="262"/>
      <c r="GLP78" s="262"/>
      <c r="GLQ78" s="262"/>
      <c r="GLR78" s="262"/>
      <c r="GLS78" s="262"/>
      <c r="GLT78" s="262"/>
      <c r="GLU78" s="262"/>
      <c r="GLV78" s="262"/>
      <c r="GLW78" s="262"/>
      <c r="GLX78" s="262"/>
      <c r="GLY78" s="262"/>
      <c r="GLZ78" s="262"/>
      <c r="GMA78" s="262"/>
      <c r="GMB78" s="262"/>
      <c r="GMC78" s="262"/>
      <c r="GMD78" s="262"/>
      <c r="GME78" s="262"/>
      <c r="GMF78" s="262"/>
      <c r="GMG78" s="262"/>
      <c r="GMH78" s="262"/>
      <c r="GMI78" s="262"/>
      <c r="GMJ78" s="262"/>
      <c r="GMK78" s="262"/>
      <c r="GML78" s="262"/>
      <c r="GMM78" s="262"/>
      <c r="GMN78" s="262"/>
      <c r="GMO78" s="262"/>
      <c r="GMP78" s="262"/>
      <c r="GMQ78" s="262"/>
      <c r="GMR78" s="262"/>
      <c r="GMS78" s="262"/>
      <c r="GMT78" s="262"/>
      <c r="GMU78" s="262"/>
      <c r="GMV78" s="262"/>
      <c r="GMW78" s="262"/>
      <c r="GMX78" s="262"/>
      <c r="GMY78" s="262"/>
      <c r="GMZ78" s="262"/>
      <c r="GNA78" s="262"/>
      <c r="GNB78" s="262"/>
      <c r="GNC78" s="262"/>
      <c r="GND78" s="262"/>
      <c r="GNE78" s="262"/>
      <c r="GNF78" s="262"/>
      <c r="GNG78" s="262"/>
      <c r="GNH78" s="262"/>
      <c r="GNI78" s="262"/>
      <c r="GNJ78" s="262"/>
      <c r="GNK78" s="262"/>
      <c r="GNL78" s="262"/>
      <c r="GNM78" s="262"/>
      <c r="GNN78" s="262"/>
      <c r="GNO78" s="262"/>
      <c r="GNP78" s="262"/>
      <c r="GNQ78" s="262"/>
      <c r="GNR78" s="262"/>
      <c r="GNS78" s="262"/>
      <c r="GNT78" s="262"/>
      <c r="GNU78" s="262"/>
      <c r="GNV78" s="262"/>
      <c r="GNW78" s="262"/>
      <c r="GNX78" s="262"/>
      <c r="GNY78" s="262"/>
      <c r="GNZ78" s="262"/>
      <c r="GOA78" s="262"/>
      <c r="GOB78" s="262"/>
      <c r="GOC78" s="262"/>
      <c r="GOD78" s="262"/>
      <c r="GOE78" s="262"/>
      <c r="GOF78" s="262"/>
      <c r="GOG78" s="262"/>
      <c r="GOH78" s="262"/>
      <c r="GOI78" s="262"/>
      <c r="GOJ78" s="262"/>
      <c r="GOK78" s="262"/>
      <c r="GOL78" s="262"/>
      <c r="GOM78" s="262"/>
      <c r="GON78" s="262"/>
      <c r="GOO78" s="262"/>
      <c r="GOP78" s="262"/>
      <c r="GOQ78" s="262"/>
      <c r="GOR78" s="262"/>
      <c r="GOS78" s="262"/>
      <c r="GOT78" s="262"/>
      <c r="GOU78" s="262"/>
      <c r="GOV78" s="262"/>
      <c r="GOW78" s="262"/>
      <c r="GOX78" s="262"/>
      <c r="GOY78" s="262"/>
      <c r="GOZ78" s="262"/>
      <c r="GPA78" s="262"/>
      <c r="GPB78" s="262"/>
      <c r="GPC78" s="262"/>
      <c r="GPD78" s="262"/>
      <c r="GPE78" s="262"/>
      <c r="GPF78" s="262"/>
      <c r="GPG78" s="262"/>
      <c r="GPH78" s="262"/>
      <c r="GPI78" s="262"/>
      <c r="GPJ78" s="262"/>
      <c r="GPK78" s="262"/>
      <c r="GPL78" s="262"/>
      <c r="GPM78" s="262"/>
      <c r="GPN78" s="262"/>
      <c r="GPO78" s="262"/>
      <c r="GPP78" s="262"/>
      <c r="GPQ78" s="262"/>
      <c r="GPR78" s="262"/>
      <c r="GPS78" s="262"/>
      <c r="GPT78" s="262"/>
      <c r="GPU78" s="262"/>
      <c r="GPV78" s="262"/>
      <c r="GPW78" s="262"/>
      <c r="GPX78" s="262"/>
      <c r="GPY78" s="262"/>
      <c r="GPZ78" s="262"/>
      <c r="GQA78" s="262"/>
      <c r="GQB78" s="262"/>
      <c r="GQC78" s="262"/>
      <c r="GQD78" s="262"/>
      <c r="GQE78" s="262"/>
      <c r="GQF78" s="262"/>
      <c r="GQG78" s="262"/>
      <c r="GQH78" s="262"/>
      <c r="GQI78" s="262"/>
      <c r="GQJ78" s="262"/>
      <c r="GQK78" s="262"/>
      <c r="GQL78" s="262"/>
      <c r="GQM78" s="262"/>
      <c r="GQN78" s="262"/>
      <c r="GQO78" s="262"/>
      <c r="GQP78" s="262"/>
      <c r="GQQ78" s="262"/>
      <c r="GQR78" s="262"/>
      <c r="GQS78" s="262"/>
      <c r="GQT78" s="262"/>
      <c r="GQU78" s="262"/>
      <c r="GQV78" s="262"/>
      <c r="GQW78" s="262"/>
      <c r="GQX78" s="262"/>
      <c r="GQY78" s="262"/>
      <c r="GQZ78" s="262"/>
      <c r="GRA78" s="262"/>
      <c r="GRB78" s="262"/>
      <c r="GRC78" s="262"/>
      <c r="GRD78" s="262"/>
      <c r="GRE78" s="262"/>
      <c r="GRF78" s="262"/>
      <c r="GRG78" s="262"/>
      <c r="GRH78" s="262"/>
      <c r="GRI78" s="262"/>
      <c r="GRJ78" s="262"/>
      <c r="GRK78" s="262"/>
      <c r="GRL78" s="262"/>
      <c r="GRM78" s="262"/>
      <c r="GRN78" s="262"/>
      <c r="GRO78" s="262"/>
      <c r="GRP78" s="262"/>
      <c r="GRQ78" s="262"/>
      <c r="GRR78" s="262"/>
      <c r="GRS78" s="262"/>
      <c r="GRT78" s="262"/>
      <c r="GRU78" s="262"/>
      <c r="GRV78" s="262"/>
      <c r="GRW78" s="262"/>
      <c r="GRX78" s="262"/>
      <c r="GRY78" s="262"/>
      <c r="GRZ78" s="262"/>
      <c r="GSA78" s="262"/>
      <c r="GSB78" s="262"/>
      <c r="GSC78" s="262"/>
      <c r="GSD78" s="262"/>
      <c r="GSE78" s="262"/>
      <c r="GSF78" s="262"/>
      <c r="GSG78" s="262"/>
      <c r="GSH78" s="262"/>
      <c r="GSI78" s="262"/>
      <c r="GSJ78" s="262"/>
      <c r="GSK78" s="262"/>
      <c r="GSL78" s="262"/>
      <c r="GSM78" s="262"/>
      <c r="GSN78" s="262"/>
      <c r="GSO78" s="262"/>
      <c r="GSP78" s="262"/>
      <c r="GSQ78" s="262"/>
      <c r="GSR78" s="262"/>
      <c r="GSS78" s="262"/>
      <c r="GST78" s="262"/>
      <c r="GSU78" s="262"/>
      <c r="GSV78" s="262"/>
      <c r="GSW78" s="262"/>
      <c r="GSX78" s="262"/>
      <c r="GSY78" s="262"/>
      <c r="GSZ78" s="262"/>
      <c r="GTA78" s="262"/>
      <c r="GTB78" s="262"/>
      <c r="GTC78" s="262"/>
      <c r="GTD78" s="262"/>
      <c r="GTE78" s="262"/>
      <c r="GTF78" s="262"/>
      <c r="GTG78" s="262"/>
      <c r="GTH78" s="262"/>
      <c r="GTI78" s="262"/>
      <c r="GTJ78" s="262"/>
      <c r="GTK78" s="262"/>
      <c r="GTL78" s="262"/>
      <c r="GTM78" s="262"/>
      <c r="GTN78" s="262"/>
      <c r="GTO78" s="262"/>
      <c r="GTP78" s="262"/>
      <c r="GTQ78" s="262"/>
      <c r="GTR78" s="262"/>
      <c r="GTS78" s="262"/>
      <c r="GTT78" s="262"/>
      <c r="GTU78" s="262"/>
      <c r="GTV78" s="262"/>
      <c r="GTW78" s="262"/>
      <c r="GTX78" s="262"/>
      <c r="GTY78" s="262"/>
      <c r="GTZ78" s="262"/>
      <c r="GUA78" s="262"/>
      <c r="GUB78" s="262"/>
      <c r="GUC78" s="262"/>
      <c r="GUD78" s="262"/>
      <c r="GUE78" s="262"/>
      <c r="GUF78" s="262"/>
      <c r="GUG78" s="262"/>
      <c r="GUH78" s="262"/>
      <c r="GUI78" s="262"/>
      <c r="GUJ78" s="262"/>
      <c r="GUK78" s="262"/>
      <c r="GUL78" s="262"/>
      <c r="GUM78" s="262"/>
      <c r="GUN78" s="262"/>
      <c r="GUO78" s="262"/>
      <c r="GUP78" s="262"/>
      <c r="GUQ78" s="262"/>
      <c r="GUR78" s="262"/>
      <c r="GUS78" s="262"/>
      <c r="GUT78" s="262"/>
      <c r="GUU78" s="262"/>
      <c r="GUV78" s="262"/>
      <c r="GUW78" s="262"/>
      <c r="GUX78" s="262"/>
      <c r="GUY78" s="262"/>
      <c r="GUZ78" s="262"/>
      <c r="GVA78" s="262"/>
      <c r="GVB78" s="262"/>
      <c r="GVC78" s="262"/>
      <c r="GVD78" s="262"/>
      <c r="GVE78" s="262"/>
      <c r="GVF78" s="262"/>
      <c r="GVG78" s="262"/>
      <c r="GVH78" s="262"/>
      <c r="GVI78" s="262"/>
      <c r="GVJ78" s="262"/>
      <c r="GVK78" s="262"/>
      <c r="GVL78" s="262"/>
      <c r="GVM78" s="262"/>
      <c r="GVN78" s="262"/>
      <c r="GVO78" s="262"/>
      <c r="GVP78" s="262"/>
      <c r="GVQ78" s="262"/>
      <c r="GVR78" s="262"/>
      <c r="GVS78" s="262"/>
      <c r="GVT78" s="262"/>
      <c r="GVU78" s="262"/>
      <c r="GVV78" s="262"/>
      <c r="GVW78" s="262"/>
      <c r="GVX78" s="262"/>
      <c r="GVY78" s="262"/>
      <c r="GVZ78" s="262"/>
      <c r="GWA78" s="262"/>
      <c r="GWB78" s="262"/>
      <c r="GWC78" s="262"/>
      <c r="GWD78" s="262"/>
      <c r="GWE78" s="262"/>
      <c r="GWF78" s="262"/>
      <c r="GWG78" s="262"/>
      <c r="GWH78" s="262"/>
      <c r="GWI78" s="262"/>
      <c r="GWJ78" s="262"/>
      <c r="GWK78" s="262"/>
      <c r="GWL78" s="262"/>
      <c r="GWM78" s="262"/>
      <c r="GWN78" s="262"/>
      <c r="GWO78" s="262"/>
      <c r="GWP78" s="262"/>
      <c r="GWQ78" s="262"/>
      <c r="GWR78" s="262"/>
      <c r="GWS78" s="262"/>
      <c r="GWT78" s="262"/>
      <c r="GWU78" s="262"/>
      <c r="GWV78" s="262"/>
      <c r="GWW78" s="262"/>
      <c r="GWX78" s="262"/>
      <c r="GWY78" s="262"/>
      <c r="GWZ78" s="262"/>
      <c r="GXA78" s="262"/>
      <c r="GXB78" s="262"/>
      <c r="GXC78" s="262"/>
      <c r="GXD78" s="262"/>
      <c r="GXE78" s="262"/>
      <c r="GXF78" s="262"/>
      <c r="GXG78" s="262"/>
      <c r="GXH78" s="262"/>
      <c r="GXI78" s="262"/>
      <c r="GXJ78" s="262"/>
      <c r="GXK78" s="262"/>
      <c r="GXL78" s="262"/>
      <c r="GXM78" s="262"/>
      <c r="GXN78" s="262"/>
      <c r="GXO78" s="262"/>
      <c r="GXP78" s="262"/>
      <c r="GXQ78" s="262"/>
      <c r="GXR78" s="262"/>
      <c r="GXS78" s="262"/>
      <c r="GXT78" s="262"/>
      <c r="GXU78" s="262"/>
      <c r="GXV78" s="262"/>
      <c r="GXW78" s="262"/>
      <c r="GXX78" s="262"/>
      <c r="GXY78" s="262"/>
      <c r="GXZ78" s="262"/>
      <c r="GYA78" s="262"/>
      <c r="GYB78" s="262"/>
      <c r="GYC78" s="262"/>
      <c r="GYD78" s="262"/>
      <c r="GYE78" s="262"/>
      <c r="GYF78" s="262"/>
      <c r="GYG78" s="262"/>
      <c r="GYH78" s="262"/>
      <c r="GYI78" s="262"/>
      <c r="GYJ78" s="262"/>
      <c r="GYK78" s="262"/>
      <c r="GYL78" s="262"/>
      <c r="GYM78" s="262"/>
      <c r="GYN78" s="262"/>
      <c r="GYO78" s="262"/>
      <c r="GYP78" s="262"/>
      <c r="GYQ78" s="262"/>
      <c r="GYR78" s="262"/>
      <c r="GYS78" s="262"/>
      <c r="GYT78" s="262"/>
      <c r="GYU78" s="262"/>
      <c r="GYV78" s="262"/>
      <c r="GYW78" s="262"/>
      <c r="GYX78" s="262"/>
      <c r="GYY78" s="262"/>
      <c r="GYZ78" s="262"/>
      <c r="GZA78" s="262"/>
      <c r="GZB78" s="262"/>
      <c r="GZC78" s="262"/>
      <c r="GZD78" s="262"/>
      <c r="GZE78" s="262"/>
      <c r="GZF78" s="262"/>
      <c r="GZG78" s="262"/>
      <c r="GZH78" s="262"/>
      <c r="GZI78" s="262"/>
      <c r="GZJ78" s="262"/>
      <c r="GZK78" s="262"/>
      <c r="GZL78" s="262"/>
      <c r="GZM78" s="262"/>
      <c r="GZN78" s="262"/>
      <c r="GZO78" s="262"/>
      <c r="GZP78" s="262"/>
      <c r="GZQ78" s="262"/>
      <c r="GZR78" s="262"/>
      <c r="GZS78" s="262"/>
      <c r="GZT78" s="262"/>
      <c r="GZU78" s="262"/>
      <c r="GZV78" s="262"/>
      <c r="GZW78" s="262"/>
      <c r="GZX78" s="262"/>
      <c r="GZY78" s="262"/>
      <c r="GZZ78" s="262"/>
      <c r="HAA78" s="262"/>
      <c r="HAB78" s="262"/>
      <c r="HAC78" s="262"/>
      <c r="HAD78" s="262"/>
      <c r="HAE78" s="262"/>
      <c r="HAF78" s="262"/>
      <c r="HAG78" s="262"/>
      <c r="HAH78" s="262"/>
      <c r="HAI78" s="262"/>
      <c r="HAJ78" s="262"/>
      <c r="HAK78" s="262"/>
      <c r="HAL78" s="262"/>
      <c r="HAM78" s="262"/>
      <c r="HAN78" s="262"/>
      <c r="HAO78" s="262"/>
      <c r="HAP78" s="262"/>
      <c r="HAQ78" s="262"/>
      <c r="HAR78" s="262"/>
      <c r="HAS78" s="262"/>
      <c r="HAT78" s="262"/>
      <c r="HAU78" s="262"/>
      <c r="HAV78" s="262"/>
      <c r="HAW78" s="262"/>
      <c r="HAX78" s="262"/>
      <c r="HAY78" s="262"/>
      <c r="HAZ78" s="262"/>
      <c r="HBA78" s="262"/>
      <c r="HBB78" s="262"/>
      <c r="HBC78" s="262"/>
      <c r="HBD78" s="262"/>
      <c r="HBE78" s="262"/>
      <c r="HBF78" s="262"/>
      <c r="HBG78" s="262"/>
      <c r="HBH78" s="262"/>
      <c r="HBI78" s="262"/>
      <c r="HBJ78" s="262"/>
      <c r="HBK78" s="262"/>
      <c r="HBL78" s="262"/>
      <c r="HBM78" s="262"/>
      <c r="HBN78" s="262"/>
      <c r="HBO78" s="262"/>
      <c r="HBP78" s="262"/>
      <c r="HBQ78" s="262"/>
      <c r="HBR78" s="262"/>
      <c r="HBS78" s="262"/>
      <c r="HBT78" s="262"/>
      <c r="HBU78" s="262"/>
      <c r="HBV78" s="262"/>
      <c r="HBW78" s="262"/>
      <c r="HBX78" s="262"/>
      <c r="HBY78" s="262"/>
      <c r="HBZ78" s="262"/>
      <c r="HCA78" s="262"/>
      <c r="HCB78" s="262"/>
      <c r="HCC78" s="262"/>
      <c r="HCD78" s="262"/>
      <c r="HCE78" s="262"/>
      <c r="HCF78" s="262"/>
      <c r="HCG78" s="262"/>
      <c r="HCH78" s="262"/>
      <c r="HCI78" s="262"/>
      <c r="HCJ78" s="262"/>
      <c r="HCK78" s="262"/>
      <c r="HCL78" s="262"/>
      <c r="HCM78" s="262"/>
      <c r="HCN78" s="262"/>
      <c r="HCO78" s="262"/>
      <c r="HCP78" s="262"/>
      <c r="HCQ78" s="262"/>
      <c r="HCR78" s="262"/>
      <c r="HCS78" s="262"/>
      <c r="HCT78" s="262"/>
      <c r="HCU78" s="262"/>
      <c r="HCV78" s="262"/>
      <c r="HCW78" s="262"/>
      <c r="HCX78" s="262"/>
      <c r="HCY78" s="262"/>
      <c r="HCZ78" s="262"/>
      <c r="HDA78" s="262"/>
      <c r="HDB78" s="262"/>
      <c r="HDC78" s="262"/>
      <c r="HDD78" s="262"/>
      <c r="HDE78" s="262"/>
      <c r="HDF78" s="262"/>
      <c r="HDG78" s="262"/>
      <c r="HDH78" s="262"/>
      <c r="HDI78" s="262"/>
      <c r="HDJ78" s="262"/>
      <c r="HDK78" s="262"/>
      <c r="HDL78" s="262"/>
      <c r="HDM78" s="262"/>
      <c r="HDN78" s="262"/>
      <c r="HDO78" s="262"/>
      <c r="HDP78" s="262"/>
      <c r="HDQ78" s="262"/>
      <c r="HDR78" s="262"/>
      <c r="HDS78" s="262"/>
      <c r="HDT78" s="262"/>
      <c r="HDU78" s="262"/>
      <c r="HDV78" s="262"/>
      <c r="HDW78" s="262"/>
      <c r="HDX78" s="262"/>
      <c r="HDY78" s="262"/>
      <c r="HDZ78" s="262"/>
      <c r="HEA78" s="262"/>
      <c r="HEB78" s="262"/>
      <c r="HEC78" s="262"/>
      <c r="HED78" s="262"/>
      <c r="HEE78" s="262"/>
      <c r="HEF78" s="262"/>
      <c r="HEG78" s="262"/>
      <c r="HEH78" s="262"/>
      <c r="HEI78" s="262"/>
      <c r="HEJ78" s="262"/>
      <c r="HEK78" s="262"/>
      <c r="HEL78" s="262"/>
      <c r="HEM78" s="262"/>
      <c r="HEN78" s="262"/>
      <c r="HEO78" s="262"/>
      <c r="HEP78" s="262"/>
      <c r="HEQ78" s="262"/>
      <c r="HER78" s="262"/>
      <c r="HES78" s="262"/>
      <c r="HET78" s="262"/>
      <c r="HEU78" s="262"/>
      <c r="HEV78" s="262"/>
      <c r="HEW78" s="262"/>
      <c r="HEX78" s="262"/>
      <c r="HEY78" s="262"/>
      <c r="HEZ78" s="262"/>
      <c r="HFA78" s="262"/>
      <c r="HFB78" s="262"/>
      <c r="HFC78" s="262"/>
      <c r="HFD78" s="262"/>
      <c r="HFE78" s="262"/>
      <c r="HFF78" s="262"/>
      <c r="HFG78" s="262"/>
      <c r="HFH78" s="262"/>
      <c r="HFI78" s="262"/>
      <c r="HFJ78" s="262"/>
      <c r="HFK78" s="262"/>
      <c r="HFL78" s="262"/>
      <c r="HFM78" s="262"/>
      <c r="HFN78" s="262"/>
      <c r="HFO78" s="262"/>
      <c r="HFP78" s="262"/>
      <c r="HFQ78" s="262"/>
      <c r="HFR78" s="262"/>
      <c r="HFS78" s="262"/>
      <c r="HFT78" s="262"/>
      <c r="HFU78" s="262"/>
      <c r="HFV78" s="262"/>
      <c r="HFW78" s="262"/>
      <c r="HFX78" s="262"/>
      <c r="HFY78" s="262"/>
      <c r="HFZ78" s="262"/>
      <c r="HGA78" s="262"/>
      <c r="HGB78" s="262"/>
      <c r="HGC78" s="262"/>
      <c r="HGD78" s="262"/>
      <c r="HGE78" s="262"/>
      <c r="HGF78" s="262"/>
      <c r="HGG78" s="262"/>
      <c r="HGH78" s="262"/>
      <c r="HGI78" s="262"/>
      <c r="HGJ78" s="262"/>
      <c r="HGK78" s="262"/>
      <c r="HGL78" s="262"/>
      <c r="HGM78" s="262"/>
      <c r="HGN78" s="262"/>
      <c r="HGO78" s="262"/>
      <c r="HGP78" s="262"/>
      <c r="HGQ78" s="262"/>
      <c r="HGR78" s="262"/>
      <c r="HGS78" s="262"/>
      <c r="HGT78" s="262"/>
      <c r="HGU78" s="262"/>
      <c r="HGV78" s="262"/>
      <c r="HGW78" s="262"/>
      <c r="HGX78" s="262"/>
      <c r="HGY78" s="262"/>
      <c r="HGZ78" s="262"/>
      <c r="HHA78" s="262"/>
      <c r="HHB78" s="262"/>
      <c r="HHC78" s="262"/>
      <c r="HHD78" s="262"/>
      <c r="HHE78" s="262"/>
      <c r="HHF78" s="262"/>
      <c r="HHG78" s="262"/>
      <c r="HHH78" s="262"/>
      <c r="HHI78" s="262"/>
      <c r="HHJ78" s="262"/>
      <c r="HHK78" s="262"/>
      <c r="HHL78" s="262"/>
      <c r="HHM78" s="262"/>
      <c r="HHN78" s="262"/>
      <c r="HHO78" s="262"/>
      <c r="HHP78" s="262"/>
      <c r="HHQ78" s="262"/>
      <c r="HHR78" s="262"/>
      <c r="HHS78" s="262"/>
      <c r="HHT78" s="262"/>
      <c r="HHU78" s="262"/>
      <c r="HHV78" s="262"/>
      <c r="HHW78" s="262"/>
      <c r="HHX78" s="262"/>
      <c r="HHY78" s="262"/>
      <c r="HHZ78" s="262"/>
      <c r="HIA78" s="262"/>
      <c r="HIB78" s="262"/>
      <c r="HIC78" s="262"/>
      <c r="HID78" s="262"/>
      <c r="HIE78" s="262"/>
      <c r="HIF78" s="262"/>
      <c r="HIG78" s="262"/>
      <c r="HIH78" s="262"/>
      <c r="HII78" s="262"/>
      <c r="HIJ78" s="262"/>
      <c r="HIK78" s="262"/>
      <c r="HIL78" s="262"/>
      <c r="HIM78" s="262"/>
      <c r="HIN78" s="262"/>
      <c r="HIO78" s="262"/>
      <c r="HIP78" s="262"/>
      <c r="HIQ78" s="262"/>
      <c r="HIR78" s="262"/>
      <c r="HIS78" s="262"/>
      <c r="HIT78" s="262"/>
      <c r="HIU78" s="262"/>
      <c r="HIV78" s="262"/>
      <c r="HIW78" s="262"/>
      <c r="HIX78" s="262"/>
      <c r="HIY78" s="262"/>
      <c r="HIZ78" s="262"/>
      <c r="HJA78" s="262"/>
      <c r="HJB78" s="262"/>
      <c r="HJC78" s="262"/>
      <c r="HJD78" s="262"/>
      <c r="HJE78" s="262"/>
      <c r="HJF78" s="262"/>
      <c r="HJG78" s="262"/>
      <c r="HJH78" s="262"/>
      <c r="HJI78" s="262"/>
      <c r="HJJ78" s="262"/>
      <c r="HJK78" s="262"/>
      <c r="HJL78" s="262"/>
      <c r="HJM78" s="262"/>
      <c r="HJN78" s="262"/>
      <c r="HJO78" s="262"/>
      <c r="HJP78" s="262"/>
      <c r="HJQ78" s="262"/>
      <c r="HJR78" s="262"/>
      <c r="HJS78" s="262"/>
      <c r="HJT78" s="262"/>
      <c r="HJU78" s="262"/>
      <c r="HJV78" s="262"/>
      <c r="HJW78" s="262"/>
      <c r="HJX78" s="262"/>
      <c r="HJY78" s="262"/>
      <c r="HJZ78" s="262"/>
      <c r="HKA78" s="262"/>
      <c r="HKB78" s="262"/>
      <c r="HKC78" s="262"/>
      <c r="HKD78" s="262"/>
      <c r="HKE78" s="262"/>
      <c r="HKF78" s="262"/>
      <c r="HKG78" s="262"/>
      <c r="HKH78" s="262"/>
      <c r="HKI78" s="262"/>
      <c r="HKJ78" s="262"/>
      <c r="HKK78" s="262"/>
      <c r="HKL78" s="262"/>
      <c r="HKM78" s="262"/>
      <c r="HKN78" s="262"/>
      <c r="HKO78" s="262"/>
      <c r="HKP78" s="262"/>
      <c r="HKQ78" s="262"/>
      <c r="HKR78" s="262"/>
      <c r="HKS78" s="262"/>
      <c r="HKT78" s="262"/>
      <c r="HKU78" s="262"/>
      <c r="HKV78" s="262"/>
      <c r="HKW78" s="262"/>
      <c r="HKX78" s="262"/>
      <c r="HKY78" s="262"/>
      <c r="HKZ78" s="262"/>
      <c r="HLA78" s="262"/>
      <c r="HLB78" s="262"/>
      <c r="HLC78" s="262"/>
      <c r="HLD78" s="262"/>
      <c r="HLE78" s="262"/>
      <c r="HLF78" s="262"/>
      <c r="HLG78" s="262"/>
      <c r="HLH78" s="262"/>
      <c r="HLI78" s="262"/>
      <c r="HLJ78" s="262"/>
      <c r="HLK78" s="262"/>
      <c r="HLL78" s="262"/>
      <c r="HLM78" s="262"/>
      <c r="HLN78" s="262"/>
      <c r="HLO78" s="262"/>
      <c r="HLP78" s="262"/>
      <c r="HLQ78" s="262"/>
      <c r="HLR78" s="262"/>
      <c r="HLS78" s="262"/>
      <c r="HLT78" s="262"/>
      <c r="HLU78" s="262"/>
      <c r="HLV78" s="262"/>
      <c r="HLW78" s="262"/>
      <c r="HLX78" s="262"/>
      <c r="HLY78" s="262"/>
      <c r="HLZ78" s="262"/>
      <c r="HMA78" s="262"/>
      <c r="HMB78" s="262"/>
      <c r="HMC78" s="262"/>
      <c r="HMD78" s="262"/>
      <c r="HME78" s="262"/>
      <c r="HMF78" s="262"/>
      <c r="HMG78" s="262"/>
      <c r="HMH78" s="262"/>
      <c r="HMI78" s="262"/>
      <c r="HMJ78" s="262"/>
      <c r="HMK78" s="262"/>
      <c r="HML78" s="262"/>
      <c r="HMM78" s="262"/>
      <c r="HMN78" s="262"/>
      <c r="HMO78" s="262"/>
      <c r="HMP78" s="262"/>
      <c r="HMQ78" s="262"/>
      <c r="HMR78" s="262"/>
      <c r="HMS78" s="262"/>
      <c r="HMT78" s="262"/>
      <c r="HMU78" s="262"/>
      <c r="HMV78" s="262"/>
      <c r="HMW78" s="262"/>
      <c r="HMX78" s="262"/>
      <c r="HMY78" s="262"/>
      <c r="HMZ78" s="262"/>
      <c r="HNA78" s="262"/>
      <c r="HNB78" s="262"/>
      <c r="HNC78" s="262"/>
      <c r="HND78" s="262"/>
      <c r="HNE78" s="262"/>
      <c r="HNF78" s="262"/>
      <c r="HNG78" s="262"/>
      <c r="HNH78" s="262"/>
      <c r="HNI78" s="262"/>
      <c r="HNJ78" s="262"/>
      <c r="HNK78" s="262"/>
      <c r="HNL78" s="262"/>
      <c r="HNM78" s="262"/>
      <c r="HNN78" s="262"/>
      <c r="HNO78" s="262"/>
      <c r="HNP78" s="262"/>
      <c r="HNQ78" s="262"/>
      <c r="HNR78" s="262"/>
      <c r="HNS78" s="262"/>
      <c r="HNT78" s="262"/>
      <c r="HNU78" s="262"/>
      <c r="HNV78" s="262"/>
      <c r="HNW78" s="262"/>
      <c r="HNX78" s="262"/>
      <c r="HNY78" s="262"/>
      <c r="HNZ78" s="262"/>
      <c r="HOA78" s="262"/>
      <c r="HOB78" s="262"/>
      <c r="HOC78" s="262"/>
      <c r="HOD78" s="262"/>
      <c r="HOE78" s="262"/>
      <c r="HOF78" s="262"/>
      <c r="HOG78" s="262"/>
      <c r="HOH78" s="262"/>
      <c r="HOI78" s="262"/>
      <c r="HOJ78" s="262"/>
      <c r="HOK78" s="262"/>
      <c r="HOL78" s="262"/>
      <c r="HOM78" s="262"/>
      <c r="HON78" s="262"/>
      <c r="HOO78" s="262"/>
      <c r="HOP78" s="262"/>
      <c r="HOQ78" s="262"/>
      <c r="HOR78" s="262"/>
      <c r="HOS78" s="262"/>
      <c r="HOT78" s="262"/>
      <c r="HOU78" s="262"/>
      <c r="HOV78" s="262"/>
      <c r="HOW78" s="262"/>
      <c r="HOX78" s="262"/>
      <c r="HOY78" s="262"/>
      <c r="HOZ78" s="262"/>
      <c r="HPA78" s="262"/>
      <c r="HPB78" s="262"/>
      <c r="HPC78" s="262"/>
      <c r="HPD78" s="262"/>
      <c r="HPE78" s="262"/>
      <c r="HPF78" s="262"/>
      <c r="HPG78" s="262"/>
      <c r="HPH78" s="262"/>
      <c r="HPI78" s="262"/>
      <c r="HPJ78" s="262"/>
      <c r="HPK78" s="262"/>
      <c r="HPL78" s="262"/>
      <c r="HPM78" s="262"/>
      <c r="HPN78" s="262"/>
      <c r="HPO78" s="262"/>
      <c r="HPP78" s="262"/>
      <c r="HPQ78" s="262"/>
      <c r="HPR78" s="262"/>
      <c r="HPS78" s="262"/>
      <c r="HPT78" s="262"/>
      <c r="HPU78" s="262"/>
      <c r="HPV78" s="262"/>
      <c r="HPW78" s="262"/>
      <c r="HPX78" s="262"/>
      <c r="HPY78" s="262"/>
      <c r="HPZ78" s="262"/>
      <c r="HQA78" s="262"/>
      <c r="HQB78" s="262"/>
      <c r="HQC78" s="262"/>
      <c r="HQD78" s="262"/>
      <c r="HQE78" s="262"/>
      <c r="HQF78" s="262"/>
      <c r="HQG78" s="262"/>
      <c r="HQH78" s="262"/>
      <c r="HQI78" s="262"/>
      <c r="HQJ78" s="262"/>
      <c r="HQK78" s="262"/>
      <c r="HQL78" s="262"/>
      <c r="HQM78" s="262"/>
      <c r="HQN78" s="262"/>
      <c r="HQO78" s="262"/>
      <c r="HQP78" s="262"/>
      <c r="HQQ78" s="262"/>
      <c r="HQR78" s="262"/>
      <c r="HQS78" s="262"/>
      <c r="HQT78" s="262"/>
      <c r="HQU78" s="262"/>
      <c r="HQV78" s="262"/>
      <c r="HQW78" s="262"/>
      <c r="HQX78" s="262"/>
      <c r="HQY78" s="262"/>
      <c r="HQZ78" s="262"/>
      <c r="HRA78" s="262"/>
      <c r="HRB78" s="262"/>
      <c r="HRC78" s="262"/>
      <c r="HRD78" s="262"/>
      <c r="HRE78" s="262"/>
      <c r="HRF78" s="262"/>
      <c r="HRG78" s="262"/>
      <c r="HRH78" s="262"/>
      <c r="HRI78" s="262"/>
      <c r="HRJ78" s="262"/>
      <c r="HRK78" s="262"/>
      <c r="HRL78" s="262"/>
      <c r="HRM78" s="262"/>
      <c r="HRN78" s="262"/>
      <c r="HRO78" s="262"/>
      <c r="HRP78" s="262"/>
      <c r="HRQ78" s="262"/>
      <c r="HRR78" s="262"/>
      <c r="HRS78" s="262"/>
      <c r="HRT78" s="262"/>
      <c r="HRU78" s="262"/>
      <c r="HRV78" s="262"/>
      <c r="HRW78" s="262"/>
      <c r="HRX78" s="262"/>
      <c r="HRY78" s="262"/>
      <c r="HRZ78" s="262"/>
      <c r="HSA78" s="262"/>
      <c r="HSB78" s="262"/>
      <c r="HSC78" s="262"/>
      <c r="HSD78" s="262"/>
      <c r="HSE78" s="262"/>
      <c r="HSF78" s="262"/>
      <c r="HSG78" s="262"/>
      <c r="HSH78" s="262"/>
      <c r="HSI78" s="262"/>
      <c r="HSJ78" s="262"/>
      <c r="HSK78" s="262"/>
      <c r="HSL78" s="262"/>
      <c r="HSM78" s="262"/>
      <c r="HSN78" s="262"/>
      <c r="HSO78" s="262"/>
      <c r="HSP78" s="262"/>
      <c r="HSQ78" s="262"/>
      <c r="HSR78" s="262"/>
      <c r="HSS78" s="262"/>
      <c r="HST78" s="262"/>
      <c r="HSU78" s="262"/>
      <c r="HSV78" s="262"/>
      <c r="HSW78" s="262"/>
      <c r="HSX78" s="262"/>
      <c r="HSY78" s="262"/>
      <c r="HSZ78" s="262"/>
      <c r="HTA78" s="262"/>
      <c r="HTB78" s="262"/>
      <c r="HTC78" s="262"/>
      <c r="HTD78" s="262"/>
      <c r="HTE78" s="262"/>
      <c r="HTF78" s="262"/>
      <c r="HTG78" s="262"/>
      <c r="HTH78" s="262"/>
      <c r="HTI78" s="262"/>
      <c r="HTJ78" s="262"/>
      <c r="HTK78" s="262"/>
      <c r="HTL78" s="262"/>
      <c r="HTM78" s="262"/>
      <c r="HTN78" s="262"/>
      <c r="HTO78" s="262"/>
      <c r="HTP78" s="262"/>
      <c r="HTQ78" s="262"/>
      <c r="HTR78" s="262"/>
      <c r="HTS78" s="262"/>
      <c r="HTT78" s="262"/>
      <c r="HTU78" s="262"/>
      <c r="HTV78" s="262"/>
      <c r="HTW78" s="262"/>
      <c r="HTX78" s="262"/>
      <c r="HTY78" s="262"/>
      <c r="HTZ78" s="262"/>
      <c r="HUA78" s="262"/>
      <c r="HUB78" s="262"/>
      <c r="HUC78" s="262"/>
      <c r="HUD78" s="262"/>
      <c r="HUE78" s="262"/>
      <c r="HUF78" s="262"/>
      <c r="HUG78" s="262"/>
      <c r="HUH78" s="262"/>
      <c r="HUI78" s="262"/>
      <c r="HUJ78" s="262"/>
      <c r="HUK78" s="262"/>
      <c r="HUL78" s="262"/>
      <c r="HUM78" s="262"/>
      <c r="HUN78" s="262"/>
      <c r="HUO78" s="262"/>
      <c r="HUP78" s="262"/>
      <c r="HUQ78" s="262"/>
      <c r="HUR78" s="262"/>
      <c r="HUS78" s="262"/>
      <c r="HUT78" s="262"/>
      <c r="HUU78" s="262"/>
      <c r="HUV78" s="262"/>
      <c r="HUW78" s="262"/>
      <c r="HUX78" s="262"/>
      <c r="HUY78" s="262"/>
      <c r="HUZ78" s="262"/>
      <c r="HVA78" s="262"/>
      <c r="HVB78" s="262"/>
      <c r="HVC78" s="262"/>
      <c r="HVD78" s="262"/>
      <c r="HVE78" s="262"/>
      <c r="HVF78" s="262"/>
      <c r="HVG78" s="262"/>
      <c r="HVH78" s="262"/>
      <c r="HVI78" s="262"/>
      <c r="HVJ78" s="262"/>
      <c r="HVK78" s="262"/>
      <c r="HVL78" s="262"/>
      <c r="HVM78" s="262"/>
      <c r="HVN78" s="262"/>
      <c r="HVO78" s="262"/>
      <c r="HVP78" s="262"/>
      <c r="HVQ78" s="262"/>
      <c r="HVR78" s="262"/>
      <c r="HVS78" s="262"/>
      <c r="HVT78" s="262"/>
      <c r="HVU78" s="262"/>
      <c r="HVV78" s="262"/>
      <c r="HVW78" s="262"/>
      <c r="HVX78" s="262"/>
      <c r="HVY78" s="262"/>
      <c r="HVZ78" s="262"/>
      <c r="HWA78" s="262"/>
      <c r="HWB78" s="262"/>
      <c r="HWC78" s="262"/>
      <c r="HWD78" s="262"/>
      <c r="HWE78" s="262"/>
      <c r="HWF78" s="262"/>
      <c r="HWG78" s="262"/>
      <c r="HWH78" s="262"/>
      <c r="HWI78" s="262"/>
      <c r="HWJ78" s="262"/>
      <c r="HWK78" s="262"/>
      <c r="HWL78" s="262"/>
      <c r="HWM78" s="262"/>
      <c r="HWN78" s="262"/>
      <c r="HWO78" s="262"/>
      <c r="HWP78" s="262"/>
      <c r="HWQ78" s="262"/>
      <c r="HWR78" s="262"/>
      <c r="HWS78" s="262"/>
      <c r="HWT78" s="262"/>
      <c r="HWU78" s="262"/>
      <c r="HWV78" s="262"/>
      <c r="HWW78" s="262"/>
      <c r="HWX78" s="262"/>
      <c r="HWY78" s="262"/>
      <c r="HWZ78" s="262"/>
      <c r="HXA78" s="262"/>
      <c r="HXB78" s="262"/>
      <c r="HXC78" s="262"/>
      <c r="HXD78" s="262"/>
      <c r="HXE78" s="262"/>
      <c r="HXF78" s="262"/>
      <c r="HXG78" s="262"/>
      <c r="HXH78" s="262"/>
      <c r="HXI78" s="262"/>
      <c r="HXJ78" s="262"/>
      <c r="HXK78" s="262"/>
      <c r="HXL78" s="262"/>
      <c r="HXM78" s="262"/>
      <c r="HXN78" s="262"/>
      <c r="HXO78" s="262"/>
      <c r="HXP78" s="262"/>
      <c r="HXQ78" s="262"/>
      <c r="HXR78" s="262"/>
      <c r="HXS78" s="262"/>
      <c r="HXT78" s="262"/>
      <c r="HXU78" s="262"/>
      <c r="HXV78" s="262"/>
      <c r="HXW78" s="262"/>
      <c r="HXX78" s="262"/>
      <c r="HXY78" s="262"/>
      <c r="HXZ78" s="262"/>
      <c r="HYA78" s="262"/>
      <c r="HYB78" s="262"/>
      <c r="HYC78" s="262"/>
      <c r="HYD78" s="262"/>
      <c r="HYE78" s="262"/>
      <c r="HYF78" s="262"/>
      <c r="HYG78" s="262"/>
      <c r="HYH78" s="262"/>
      <c r="HYI78" s="262"/>
      <c r="HYJ78" s="262"/>
      <c r="HYK78" s="262"/>
      <c r="HYL78" s="262"/>
      <c r="HYM78" s="262"/>
      <c r="HYN78" s="262"/>
      <c r="HYO78" s="262"/>
      <c r="HYP78" s="262"/>
      <c r="HYQ78" s="262"/>
      <c r="HYR78" s="262"/>
      <c r="HYS78" s="262"/>
      <c r="HYT78" s="262"/>
      <c r="HYU78" s="262"/>
      <c r="HYV78" s="262"/>
      <c r="HYW78" s="262"/>
      <c r="HYX78" s="262"/>
      <c r="HYY78" s="262"/>
      <c r="HYZ78" s="262"/>
      <c r="HZA78" s="262"/>
      <c r="HZB78" s="262"/>
      <c r="HZC78" s="262"/>
      <c r="HZD78" s="262"/>
      <c r="HZE78" s="262"/>
      <c r="HZF78" s="262"/>
      <c r="HZG78" s="262"/>
      <c r="HZH78" s="262"/>
      <c r="HZI78" s="262"/>
      <c r="HZJ78" s="262"/>
      <c r="HZK78" s="262"/>
      <c r="HZL78" s="262"/>
      <c r="HZM78" s="262"/>
      <c r="HZN78" s="262"/>
      <c r="HZO78" s="262"/>
      <c r="HZP78" s="262"/>
      <c r="HZQ78" s="262"/>
      <c r="HZR78" s="262"/>
      <c r="HZS78" s="262"/>
      <c r="HZT78" s="262"/>
      <c r="HZU78" s="262"/>
      <c r="HZV78" s="262"/>
      <c r="HZW78" s="262"/>
      <c r="HZX78" s="262"/>
      <c r="HZY78" s="262"/>
      <c r="HZZ78" s="262"/>
      <c r="IAA78" s="262"/>
      <c r="IAB78" s="262"/>
      <c r="IAC78" s="262"/>
      <c r="IAD78" s="262"/>
      <c r="IAE78" s="262"/>
      <c r="IAF78" s="262"/>
      <c r="IAG78" s="262"/>
      <c r="IAH78" s="262"/>
      <c r="IAI78" s="262"/>
      <c r="IAJ78" s="262"/>
      <c r="IAK78" s="262"/>
      <c r="IAL78" s="262"/>
      <c r="IAM78" s="262"/>
      <c r="IAN78" s="262"/>
      <c r="IAO78" s="262"/>
      <c r="IAP78" s="262"/>
      <c r="IAQ78" s="262"/>
      <c r="IAR78" s="262"/>
      <c r="IAS78" s="262"/>
      <c r="IAT78" s="262"/>
      <c r="IAU78" s="262"/>
      <c r="IAV78" s="262"/>
      <c r="IAW78" s="262"/>
      <c r="IAX78" s="262"/>
      <c r="IAY78" s="262"/>
      <c r="IAZ78" s="262"/>
      <c r="IBA78" s="262"/>
      <c r="IBB78" s="262"/>
      <c r="IBC78" s="262"/>
      <c r="IBD78" s="262"/>
      <c r="IBE78" s="262"/>
      <c r="IBF78" s="262"/>
      <c r="IBG78" s="262"/>
      <c r="IBH78" s="262"/>
      <c r="IBI78" s="262"/>
      <c r="IBJ78" s="262"/>
      <c r="IBK78" s="262"/>
      <c r="IBL78" s="262"/>
      <c r="IBM78" s="262"/>
      <c r="IBN78" s="262"/>
      <c r="IBO78" s="262"/>
      <c r="IBP78" s="262"/>
      <c r="IBQ78" s="262"/>
      <c r="IBR78" s="262"/>
      <c r="IBS78" s="262"/>
      <c r="IBT78" s="262"/>
      <c r="IBU78" s="262"/>
      <c r="IBV78" s="262"/>
      <c r="IBW78" s="262"/>
      <c r="IBX78" s="262"/>
      <c r="IBY78" s="262"/>
      <c r="IBZ78" s="262"/>
      <c r="ICA78" s="262"/>
      <c r="ICB78" s="262"/>
      <c r="ICC78" s="262"/>
      <c r="ICD78" s="262"/>
      <c r="ICE78" s="262"/>
      <c r="ICF78" s="262"/>
      <c r="ICG78" s="262"/>
      <c r="ICH78" s="262"/>
      <c r="ICI78" s="262"/>
      <c r="ICJ78" s="262"/>
      <c r="ICK78" s="262"/>
      <c r="ICL78" s="262"/>
      <c r="ICM78" s="262"/>
      <c r="ICN78" s="262"/>
      <c r="ICO78" s="262"/>
      <c r="ICP78" s="262"/>
      <c r="ICQ78" s="262"/>
      <c r="ICR78" s="262"/>
      <c r="ICS78" s="262"/>
      <c r="ICT78" s="262"/>
      <c r="ICU78" s="262"/>
      <c r="ICV78" s="262"/>
      <c r="ICW78" s="262"/>
      <c r="ICX78" s="262"/>
      <c r="ICY78" s="262"/>
      <c r="ICZ78" s="262"/>
      <c r="IDA78" s="262"/>
      <c r="IDB78" s="262"/>
      <c r="IDC78" s="262"/>
      <c r="IDD78" s="262"/>
      <c r="IDE78" s="262"/>
      <c r="IDF78" s="262"/>
      <c r="IDG78" s="262"/>
      <c r="IDH78" s="262"/>
      <c r="IDI78" s="262"/>
      <c r="IDJ78" s="262"/>
      <c r="IDK78" s="262"/>
      <c r="IDL78" s="262"/>
      <c r="IDM78" s="262"/>
      <c r="IDN78" s="262"/>
      <c r="IDO78" s="262"/>
      <c r="IDP78" s="262"/>
      <c r="IDQ78" s="262"/>
      <c r="IDR78" s="262"/>
      <c r="IDS78" s="262"/>
      <c r="IDT78" s="262"/>
      <c r="IDU78" s="262"/>
      <c r="IDV78" s="262"/>
      <c r="IDW78" s="262"/>
      <c r="IDX78" s="262"/>
      <c r="IDY78" s="262"/>
      <c r="IDZ78" s="262"/>
      <c r="IEA78" s="262"/>
      <c r="IEB78" s="262"/>
      <c r="IEC78" s="262"/>
      <c r="IED78" s="262"/>
      <c r="IEE78" s="262"/>
      <c r="IEF78" s="262"/>
      <c r="IEG78" s="262"/>
      <c r="IEH78" s="262"/>
      <c r="IEI78" s="262"/>
      <c r="IEJ78" s="262"/>
      <c r="IEK78" s="262"/>
      <c r="IEL78" s="262"/>
      <c r="IEM78" s="262"/>
      <c r="IEN78" s="262"/>
      <c r="IEO78" s="262"/>
      <c r="IEP78" s="262"/>
      <c r="IEQ78" s="262"/>
      <c r="IER78" s="262"/>
      <c r="IES78" s="262"/>
      <c r="IET78" s="262"/>
      <c r="IEU78" s="262"/>
      <c r="IEV78" s="262"/>
      <c r="IEW78" s="262"/>
      <c r="IEX78" s="262"/>
      <c r="IEY78" s="262"/>
      <c r="IEZ78" s="262"/>
      <c r="IFA78" s="262"/>
      <c r="IFB78" s="262"/>
      <c r="IFC78" s="262"/>
      <c r="IFD78" s="262"/>
      <c r="IFE78" s="262"/>
      <c r="IFF78" s="262"/>
      <c r="IFG78" s="262"/>
      <c r="IFH78" s="262"/>
      <c r="IFI78" s="262"/>
      <c r="IFJ78" s="262"/>
      <c r="IFK78" s="262"/>
      <c r="IFL78" s="262"/>
      <c r="IFM78" s="262"/>
      <c r="IFN78" s="262"/>
      <c r="IFO78" s="262"/>
      <c r="IFP78" s="262"/>
      <c r="IFQ78" s="262"/>
      <c r="IFR78" s="262"/>
      <c r="IFS78" s="262"/>
      <c r="IFT78" s="262"/>
      <c r="IFU78" s="262"/>
      <c r="IFV78" s="262"/>
      <c r="IFW78" s="262"/>
      <c r="IFX78" s="262"/>
      <c r="IFY78" s="262"/>
      <c r="IFZ78" s="262"/>
      <c r="IGA78" s="262"/>
      <c r="IGB78" s="262"/>
      <c r="IGC78" s="262"/>
      <c r="IGD78" s="262"/>
      <c r="IGE78" s="262"/>
      <c r="IGF78" s="262"/>
      <c r="IGG78" s="262"/>
      <c r="IGH78" s="262"/>
      <c r="IGI78" s="262"/>
      <c r="IGJ78" s="262"/>
      <c r="IGK78" s="262"/>
      <c r="IGL78" s="262"/>
      <c r="IGM78" s="262"/>
      <c r="IGN78" s="262"/>
      <c r="IGO78" s="262"/>
      <c r="IGP78" s="262"/>
      <c r="IGQ78" s="262"/>
      <c r="IGR78" s="262"/>
      <c r="IGS78" s="262"/>
      <c r="IGT78" s="262"/>
      <c r="IGU78" s="262"/>
      <c r="IGV78" s="262"/>
      <c r="IGW78" s="262"/>
      <c r="IGX78" s="262"/>
      <c r="IGY78" s="262"/>
      <c r="IGZ78" s="262"/>
      <c r="IHA78" s="262"/>
      <c r="IHB78" s="262"/>
      <c r="IHC78" s="262"/>
      <c r="IHD78" s="262"/>
      <c r="IHE78" s="262"/>
      <c r="IHF78" s="262"/>
      <c r="IHG78" s="262"/>
      <c r="IHH78" s="262"/>
      <c r="IHI78" s="262"/>
      <c r="IHJ78" s="262"/>
      <c r="IHK78" s="262"/>
      <c r="IHL78" s="262"/>
      <c r="IHM78" s="262"/>
      <c r="IHN78" s="262"/>
      <c r="IHO78" s="262"/>
      <c r="IHP78" s="262"/>
      <c r="IHQ78" s="262"/>
      <c r="IHR78" s="262"/>
      <c r="IHS78" s="262"/>
      <c r="IHT78" s="262"/>
      <c r="IHU78" s="262"/>
      <c r="IHV78" s="262"/>
      <c r="IHW78" s="262"/>
      <c r="IHX78" s="262"/>
      <c r="IHY78" s="262"/>
      <c r="IHZ78" s="262"/>
      <c r="IIA78" s="262"/>
      <c r="IIB78" s="262"/>
      <c r="IIC78" s="262"/>
      <c r="IID78" s="262"/>
      <c r="IIE78" s="262"/>
      <c r="IIF78" s="262"/>
      <c r="IIG78" s="262"/>
      <c r="IIH78" s="262"/>
      <c r="III78" s="262"/>
      <c r="IIJ78" s="262"/>
      <c r="IIK78" s="262"/>
      <c r="IIL78" s="262"/>
      <c r="IIM78" s="262"/>
      <c r="IIN78" s="262"/>
      <c r="IIO78" s="262"/>
      <c r="IIP78" s="262"/>
      <c r="IIQ78" s="262"/>
      <c r="IIR78" s="262"/>
      <c r="IIS78" s="262"/>
      <c r="IIT78" s="262"/>
      <c r="IIU78" s="262"/>
      <c r="IIV78" s="262"/>
      <c r="IIW78" s="262"/>
      <c r="IIX78" s="262"/>
      <c r="IIY78" s="262"/>
      <c r="IIZ78" s="262"/>
      <c r="IJA78" s="262"/>
      <c r="IJB78" s="262"/>
      <c r="IJC78" s="262"/>
      <c r="IJD78" s="262"/>
      <c r="IJE78" s="262"/>
      <c r="IJF78" s="262"/>
      <c r="IJG78" s="262"/>
      <c r="IJH78" s="262"/>
      <c r="IJI78" s="262"/>
      <c r="IJJ78" s="262"/>
      <c r="IJK78" s="262"/>
      <c r="IJL78" s="262"/>
      <c r="IJM78" s="262"/>
      <c r="IJN78" s="262"/>
      <c r="IJO78" s="262"/>
      <c r="IJP78" s="262"/>
      <c r="IJQ78" s="262"/>
      <c r="IJR78" s="262"/>
      <c r="IJS78" s="262"/>
      <c r="IJT78" s="262"/>
      <c r="IJU78" s="262"/>
      <c r="IJV78" s="262"/>
      <c r="IJW78" s="262"/>
      <c r="IJX78" s="262"/>
      <c r="IJY78" s="262"/>
      <c r="IJZ78" s="262"/>
      <c r="IKA78" s="262"/>
      <c r="IKB78" s="262"/>
      <c r="IKC78" s="262"/>
      <c r="IKD78" s="262"/>
      <c r="IKE78" s="262"/>
      <c r="IKF78" s="262"/>
      <c r="IKG78" s="262"/>
      <c r="IKH78" s="262"/>
      <c r="IKI78" s="262"/>
      <c r="IKJ78" s="262"/>
      <c r="IKK78" s="262"/>
      <c r="IKL78" s="262"/>
      <c r="IKM78" s="262"/>
      <c r="IKN78" s="262"/>
      <c r="IKO78" s="262"/>
      <c r="IKP78" s="262"/>
      <c r="IKQ78" s="262"/>
      <c r="IKR78" s="262"/>
      <c r="IKS78" s="262"/>
      <c r="IKT78" s="262"/>
      <c r="IKU78" s="262"/>
      <c r="IKV78" s="262"/>
      <c r="IKW78" s="262"/>
      <c r="IKX78" s="262"/>
      <c r="IKY78" s="262"/>
      <c r="IKZ78" s="262"/>
      <c r="ILA78" s="262"/>
      <c r="ILB78" s="262"/>
      <c r="ILC78" s="262"/>
      <c r="ILD78" s="262"/>
      <c r="ILE78" s="262"/>
      <c r="ILF78" s="262"/>
      <c r="ILG78" s="262"/>
      <c r="ILH78" s="262"/>
      <c r="ILI78" s="262"/>
      <c r="ILJ78" s="262"/>
      <c r="ILK78" s="262"/>
      <c r="ILL78" s="262"/>
      <c r="ILM78" s="262"/>
      <c r="ILN78" s="262"/>
      <c r="ILO78" s="262"/>
      <c r="ILP78" s="262"/>
      <c r="ILQ78" s="262"/>
      <c r="ILR78" s="262"/>
      <c r="ILS78" s="262"/>
      <c r="ILT78" s="262"/>
      <c r="ILU78" s="262"/>
      <c r="ILV78" s="262"/>
      <c r="ILW78" s="262"/>
      <c r="ILX78" s="262"/>
      <c r="ILY78" s="262"/>
      <c r="ILZ78" s="262"/>
      <c r="IMA78" s="262"/>
      <c r="IMB78" s="262"/>
      <c r="IMC78" s="262"/>
      <c r="IMD78" s="262"/>
      <c r="IME78" s="262"/>
      <c r="IMF78" s="262"/>
      <c r="IMG78" s="262"/>
      <c r="IMH78" s="262"/>
      <c r="IMI78" s="262"/>
      <c r="IMJ78" s="262"/>
      <c r="IMK78" s="262"/>
      <c r="IML78" s="262"/>
      <c r="IMM78" s="262"/>
      <c r="IMN78" s="262"/>
      <c r="IMO78" s="262"/>
      <c r="IMP78" s="262"/>
      <c r="IMQ78" s="262"/>
      <c r="IMR78" s="262"/>
      <c r="IMS78" s="262"/>
      <c r="IMT78" s="262"/>
      <c r="IMU78" s="262"/>
      <c r="IMV78" s="262"/>
      <c r="IMW78" s="262"/>
      <c r="IMX78" s="262"/>
      <c r="IMY78" s="262"/>
      <c r="IMZ78" s="262"/>
      <c r="INA78" s="262"/>
      <c r="INB78" s="262"/>
      <c r="INC78" s="262"/>
      <c r="IND78" s="262"/>
      <c r="INE78" s="262"/>
      <c r="INF78" s="262"/>
      <c r="ING78" s="262"/>
      <c r="INH78" s="262"/>
      <c r="INI78" s="262"/>
      <c r="INJ78" s="262"/>
      <c r="INK78" s="262"/>
      <c r="INL78" s="262"/>
      <c r="INM78" s="262"/>
      <c r="INN78" s="262"/>
      <c r="INO78" s="262"/>
      <c r="INP78" s="262"/>
      <c r="INQ78" s="262"/>
      <c r="INR78" s="262"/>
      <c r="INS78" s="262"/>
      <c r="INT78" s="262"/>
      <c r="INU78" s="262"/>
      <c r="INV78" s="262"/>
      <c r="INW78" s="262"/>
      <c r="INX78" s="262"/>
      <c r="INY78" s="262"/>
      <c r="INZ78" s="262"/>
      <c r="IOA78" s="262"/>
      <c r="IOB78" s="262"/>
      <c r="IOC78" s="262"/>
      <c r="IOD78" s="262"/>
      <c r="IOE78" s="262"/>
      <c r="IOF78" s="262"/>
      <c r="IOG78" s="262"/>
      <c r="IOH78" s="262"/>
      <c r="IOI78" s="262"/>
      <c r="IOJ78" s="262"/>
      <c r="IOK78" s="262"/>
      <c r="IOL78" s="262"/>
      <c r="IOM78" s="262"/>
      <c r="ION78" s="262"/>
      <c r="IOO78" s="262"/>
      <c r="IOP78" s="262"/>
      <c r="IOQ78" s="262"/>
      <c r="IOR78" s="262"/>
      <c r="IOS78" s="262"/>
      <c r="IOT78" s="262"/>
      <c r="IOU78" s="262"/>
      <c r="IOV78" s="262"/>
      <c r="IOW78" s="262"/>
      <c r="IOX78" s="262"/>
      <c r="IOY78" s="262"/>
      <c r="IOZ78" s="262"/>
      <c r="IPA78" s="262"/>
      <c r="IPB78" s="262"/>
      <c r="IPC78" s="262"/>
      <c r="IPD78" s="262"/>
      <c r="IPE78" s="262"/>
      <c r="IPF78" s="262"/>
      <c r="IPG78" s="262"/>
      <c r="IPH78" s="262"/>
      <c r="IPI78" s="262"/>
      <c r="IPJ78" s="262"/>
      <c r="IPK78" s="262"/>
      <c r="IPL78" s="262"/>
      <c r="IPM78" s="262"/>
      <c r="IPN78" s="262"/>
      <c r="IPO78" s="262"/>
      <c r="IPP78" s="262"/>
      <c r="IPQ78" s="262"/>
      <c r="IPR78" s="262"/>
      <c r="IPS78" s="262"/>
      <c r="IPT78" s="262"/>
      <c r="IPU78" s="262"/>
      <c r="IPV78" s="262"/>
      <c r="IPW78" s="262"/>
      <c r="IPX78" s="262"/>
      <c r="IPY78" s="262"/>
      <c r="IPZ78" s="262"/>
      <c r="IQA78" s="262"/>
      <c r="IQB78" s="262"/>
      <c r="IQC78" s="262"/>
      <c r="IQD78" s="262"/>
      <c r="IQE78" s="262"/>
      <c r="IQF78" s="262"/>
      <c r="IQG78" s="262"/>
      <c r="IQH78" s="262"/>
      <c r="IQI78" s="262"/>
      <c r="IQJ78" s="262"/>
      <c r="IQK78" s="262"/>
      <c r="IQL78" s="262"/>
      <c r="IQM78" s="262"/>
      <c r="IQN78" s="262"/>
      <c r="IQO78" s="262"/>
      <c r="IQP78" s="262"/>
      <c r="IQQ78" s="262"/>
      <c r="IQR78" s="262"/>
      <c r="IQS78" s="262"/>
      <c r="IQT78" s="262"/>
      <c r="IQU78" s="262"/>
      <c r="IQV78" s="262"/>
      <c r="IQW78" s="262"/>
      <c r="IQX78" s="262"/>
      <c r="IQY78" s="262"/>
      <c r="IQZ78" s="262"/>
      <c r="IRA78" s="262"/>
      <c r="IRB78" s="262"/>
      <c r="IRC78" s="262"/>
      <c r="IRD78" s="262"/>
      <c r="IRE78" s="262"/>
      <c r="IRF78" s="262"/>
      <c r="IRG78" s="262"/>
      <c r="IRH78" s="262"/>
      <c r="IRI78" s="262"/>
      <c r="IRJ78" s="262"/>
      <c r="IRK78" s="262"/>
      <c r="IRL78" s="262"/>
      <c r="IRM78" s="262"/>
      <c r="IRN78" s="262"/>
      <c r="IRO78" s="262"/>
      <c r="IRP78" s="262"/>
      <c r="IRQ78" s="262"/>
      <c r="IRR78" s="262"/>
      <c r="IRS78" s="262"/>
      <c r="IRT78" s="262"/>
      <c r="IRU78" s="262"/>
      <c r="IRV78" s="262"/>
      <c r="IRW78" s="262"/>
      <c r="IRX78" s="262"/>
      <c r="IRY78" s="262"/>
      <c r="IRZ78" s="262"/>
      <c r="ISA78" s="262"/>
      <c r="ISB78" s="262"/>
      <c r="ISC78" s="262"/>
      <c r="ISD78" s="262"/>
      <c r="ISE78" s="262"/>
      <c r="ISF78" s="262"/>
      <c r="ISG78" s="262"/>
      <c r="ISH78" s="262"/>
      <c r="ISI78" s="262"/>
      <c r="ISJ78" s="262"/>
      <c r="ISK78" s="262"/>
      <c r="ISL78" s="262"/>
      <c r="ISM78" s="262"/>
      <c r="ISN78" s="262"/>
      <c r="ISO78" s="262"/>
      <c r="ISP78" s="262"/>
      <c r="ISQ78" s="262"/>
      <c r="ISR78" s="262"/>
      <c r="ISS78" s="262"/>
      <c r="IST78" s="262"/>
      <c r="ISU78" s="262"/>
      <c r="ISV78" s="262"/>
      <c r="ISW78" s="262"/>
      <c r="ISX78" s="262"/>
      <c r="ISY78" s="262"/>
      <c r="ISZ78" s="262"/>
      <c r="ITA78" s="262"/>
      <c r="ITB78" s="262"/>
      <c r="ITC78" s="262"/>
      <c r="ITD78" s="262"/>
      <c r="ITE78" s="262"/>
      <c r="ITF78" s="262"/>
      <c r="ITG78" s="262"/>
      <c r="ITH78" s="262"/>
      <c r="ITI78" s="262"/>
      <c r="ITJ78" s="262"/>
      <c r="ITK78" s="262"/>
      <c r="ITL78" s="262"/>
      <c r="ITM78" s="262"/>
      <c r="ITN78" s="262"/>
      <c r="ITO78" s="262"/>
      <c r="ITP78" s="262"/>
      <c r="ITQ78" s="262"/>
      <c r="ITR78" s="262"/>
      <c r="ITS78" s="262"/>
      <c r="ITT78" s="262"/>
      <c r="ITU78" s="262"/>
      <c r="ITV78" s="262"/>
      <c r="ITW78" s="262"/>
      <c r="ITX78" s="262"/>
      <c r="ITY78" s="262"/>
      <c r="ITZ78" s="262"/>
      <c r="IUA78" s="262"/>
      <c r="IUB78" s="262"/>
      <c r="IUC78" s="262"/>
      <c r="IUD78" s="262"/>
      <c r="IUE78" s="262"/>
      <c r="IUF78" s="262"/>
      <c r="IUG78" s="262"/>
      <c r="IUH78" s="262"/>
      <c r="IUI78" s="262"/>
      <c r="IUJ78" s="262"/>
      <c r="IUK78" s="262"/>
      <c r="IUL78" s="262"/>
      <c r="IUM78" s="262"/>
      <c r="IUN78" s="262"/>
      <c r="IUO78" s="262"/>
      <c r="IUP78" s="262"/>
      <c r="IUQ78" s="262"/>
      <c r="IUR78" s="262"/>
      <c r="IUS78" s="262"/>
      <c r="IUT78" s="262"/>
      <c r="IUU78" s="262"/>
      <c r="IUV78" s="262"/>
      <c r="IUW78" s="262"/>
      <c r="IUX78" s="262"/>
      <c r="IUY78" s="262"/>
      <c r="IUZ78" s="262"/>
      <c r="IVA78" s="262"/>
      <c r="IVB78" s="262"/>
      <c r="IVC78" s="262"/>
      <c r="IVD78" s="262"/>
      <c r="IVE78" s="262"/>
      <c r="IVF78" s="262"/>
      <c r="IVG78" s="262"/>
      <c r="IVH78" s="262"/>
      <c r="IVI78" s="262"/>
      <c r="IVJ78" s="262"/>
      <c r="IVK78" s="262"/>
      <c r="IVL78" s="262"/>
      <c r="IVM78" s="262"/>
      <c r="IVN78" s="262"/>
      <c r="IVO78" s="262"/>
      <c r="IVP78" s="262"/>
      <c r="IVQ78" s="262"/>
      <c r="IVR78" s="262"/>
      <c r="IVS78" s="262"/>
      <c r="IVT78" s="262"/>
      <c r="IVU78" s="262"/>
      <c r="IVV78" s="262"/>
      <c r="IVW78" s="262"/>
      <c r="IVX78" s="262"/>
      <c r="IVY78" s="262"/>
      <c r="IVZ78" s="262"/>
      <c r="IWA78" s="262"/>
      <c r="IWB78" s="262"/>
      <c r="IWC78" s="262"/>
      <c r="IWD78" s="262"/>
      <c r="IWE78" s="262"/>
      <c r="IWF78" s="262"/>
      <c r="IWG78" s="262"/>
      <c r="IWH78" s="262"/>
      <c r="IWI78" s="262"/>
      <c r="IWJ78" s="262"/>
      <c r="IWK78" s="262"/>
      <c r="IWL78" s="262"/>
      <c r="IWM78" s="262"/>
      <c r="IWN78" s="262"/>
      <c r="IWO78" s="262"/>
      <c r="IWP78" s="262"/>
      <c r="IWQ78" s="262"/>
      <c r="IWR78" s="262"/>
      <c r="IWS78" s="262"/>
      <c r="IWT78" s="262"/>
      <c r="IWU78" s="262"/>
      <c r="IWV78" s="262"/>
      <c r="IWW78" s="262"/>
      <c r="IWX78" s="262"/>
      <c r="IWY78" s="262"/>
      <c r="IWZ78" s="262"/>
      <c r="IXA78" s="262"/>
      <c r="IXB78" s="262"/>
      <c r="IXC78" s="262"/>
      <c r="IXD78" s="262"/>
      <c r="IXE78" s="262"/>
      <c r="IXF78" s="262"/>
      <c r="IXG78" s="262"/>
      <c r="IXH78" s="262"/>
      <c r="IXI78" s="262"/>
      <c r="IXJ78" s="262"/>
      <c r="IXK78" s="262"/>
      <c r="IXL78" s="262"/>
      <c r="IXM78" s="262"/>
      <c r="IXN78" s="262"/>
      <c r="IXO78" s="262"/>
      <c r="IXP78" s="262"/>
      <c r="IXQ78" s="262"/>
      <c r="IXR78" s="262"/>
      <c r="IXS78" s="262"/>
      <c r="IXT78" s="262"/>
      <c r="IXU78" s="262"/>
      <c r="IXV78" s="262"/>
      <c r="IXW78" s="262"/>
      <c r="IXX78" s="262"/>
      <c r="IXY78" s="262"/>
      <c r="IXZ78" s="262"/>
      <c r="IYA78" s="262"/>
      <c r="IYB78" s="262"/>
      <c r="IYC78" s="262"/>
      <c r="IYD78" s="262"/>
      <c r="IYE78" s="262"/>
      <c r="IYF78" s="262"/>
      <c r="IYG78" s="262"/>
      <c r="IYH78" s="262"/>
      <c r="IYI78" s="262"/>
      <c r="IYJ78" s="262"/>
      <c r="IYK78" s="262"/>
      <c r="IYL78" s="262"/>
      <c r="IYM78" s="262"/>
      <c r="IYN78" s="262"/>
      <c r="IYO78" s="262"/>
      <c r="IYP78" s="262"/>
      <c r="IYQ78" s="262"/>
      <c r="IYR78" s="262"/>
      <c r="IYS78" s="262"/>
      <c r="IYT78" s="262"/>
      <c r="IYU78" s="262"/>
      <c r="IYV78" s="262"/>
      <c r="IYW78" s="262"/>
      <c r="IYX78" s="262"/>
      <c r="IYY78" s="262"/>
      <c r="IYZ78" s="262"/>
      <c r="IZA78" s="262"/>
      <c r="IZB78" s="262"/>
      <c r="IZC78" s="262"/>
      <c r="IZD78" s="262"/>
      <c r="IZE78" s="262"/>
      <c r="IZF78" s="262"/>
      <c r="IZG78" s="262"/>
      <c r="IZH78" s="262"/>
      <c r="IZI78" s="262"/>
      <c r="IZJ78" s="262"/>
      <c r="IZK78" s="262"/>
      <c r="IZL78" s="262"/>
      <c r="IZM78" s="262"/>
      <c r="IZN78" s="262"/>
      <c r="IZO78" s="262"/>
      <c r="IZP78" s="262"/>
      <c r="IZQ78" s="262"/>
      <c r="IZR78" s="262"/>
      <c r="IZS78" s="262"/>
      <c r="IZT78" s="262"/>
      <c r="IZU78" s="262"/>
      <c r="IZV78" s="262"/>
      <c r="IZW78" s="262"/>
      <c r="IZX78" s="262"/>
      <c r="IZY78" s="262"/>
      <c r="IZZ78" s="262"/>
      <c r="JAA78" s="262"/>
      <c r="JAB78" s="262"/>
      <c r="JAC78" s="262"/>
      <c r="JAD78" s="262"/>
      <c r="JAE78" s="262"/>
      <c r="JAF78" s="262"/>
      <c r="JAG78" s="262"/>
      <c r="JAH78" s="262"/>
      <c r="JAI78" s="262"/>
      <c r="JAJ78" s="262"/>
      <c r="JAK78" s="262"/>
      <c r="JAL78" s="262"/>
      <c r="JAM78" s="262"/>
      <c r="JAN78" s="262"/>
      <c r="JAO78" s="262"/>
      <c r="JAP78" s="262"/>
      <c r="JAQ78" s="262"/>
      <c r="JAR78" s="262"/>
      <c r="JAS78" s="262"/>
      <c r="JAT78" s="262"/>
      <c r="JAU78" s="262"/>
      <c r="JAV78" s="262"/>
      <c r="JAW78" s="262"/>
      <c r="JAX78" s="262"/>
      <c r="JAY78" s="262"/>
      <c r="JAZ78" s="262"/>
      <c r="JBA78" s="262"/>
      <c r="JBB78" s="262"/>
      <c r="JBC78" s="262"/>
      <c r="JBD78" s="262"/>
      <c r="JBE78" s="262"/>
      <c r="JBF78" s="262"/>
      <c r="JBG78" s="262"/>
      <c r="JBH78" s="262"/>
      <c r="JBI78" s="262"/>
      <c r="JBJ78" s="262"/>
      <c r="JBK78" s="262"/>
      <c r="JBL78" s="262"/>
      <c r="JBM78" s="262"/>
      <c r="JBN78" s="262"/>
      <c r="JBO78" s="262"/>
      <c r="JBP78" s="262"/>
      <c r="JBQ78" s="262"/>
      <c r="JBR78" s="262"/>
      <c r="JBS78" s="262"/>
      <c r="JBT78" s="262"/>
      <c r="JBU78" s="262"/>
      <c r="JBV78" s="262"/>
      <c r="JBW78" s="262"/>
      <c r="JBX78" s="262"/>
      <c r="JBY78" s="262"/>
      <c r="JBZ78" s="262"/>
      <c r="JCA78" s="262"/>
      <c r="JCB78" s="262"/>
      <c r="JCC78" s="262"/>
      <c r="JCD78" s="262"/>
      <c r="JCE78" s="262"/>
      <c r="JCF78" s="262"/>
      <c r="JCG78" s="262"/>
      <c r="JCH78" s="262"/>
      <c r="JCI78" s="262"/>
      <c r="JCJ78" s="262"/>
      <c r="JCK78" s="262"/>
      <c r="JCL78" s="262"/>
      <c r="JCM78" s="262"/>
      <c r="JCN78" s="262"/>
      <c r="JCO78" s="262"/>
      <c r="JCP78" s="262"/>
      <c r="JCQ78" s="262"/>
      <c r="JCR78" s="262"/>
      <c r="JCS78" s="262"/>
      <c r="JCT78" s="262"/>
      <c r="JCU78" s="262"/>
      <c r="JCV78" s="262"/>
      <c r="JCW78" s="262"/>
      <c r="JCX78" s="262"/>
      <c r="JCY78" s="262"/>
      <c r="JCZ78" s="262"/>
      <c r="JDA78" s="262"/>
      <c r="JDB78" s="262"/>
      <c r="JDC78" s="262"/>
      <c r="JDD78" s="262"/>
      <c r="JDE78" s="262"/>
      <c r="JDF78" s="262"/>
      <c r="JDG78" s="262"/>
      <c r="JDH78" s="262"/>
      <c r="JDI78" s="262"/>
      <c r="JDJ78" s="262"/>
      <c r="JDK78" s="262"/>
      <c r="JDL78" s="262"/>
      <c r="JDM78" s="262"/>
      <c r="JDN78" s="262"/>
      <c r="JDO78" s="262"/>
      <c r="JDP78" s="262"/>
      <c r="JDQ78" s="262"/>
      <c r="JDR78" s="262"/>
      <c r="JDS78" s="262"/>
      <c r="JDT78" s="262"/>
      <c r="JDU78" s="262"/>
      <c r="JDV78" s="262"/>
      <c r="JDW78" s="262"/>
      <c r="JDX78" s="262"/>
      <c r="JDY78" s="262"/>
      <c r="JDZ78" s="262"/>
      <c r="JEA78" s="262"/>
      <c r="JEB78" s="262"/>
      <c r="JEC78" s="262"/>
      <c r="JED78" s="262"/>
      <c r="JEE78" s="262"/>
      <c r="JEF78" s="262"/>
      <c r="JEG78" s="262"/>
      <c r="JEH78" s="262"/>
      <c r="JEI78" s="262"/>
      <c r="JEJ78" s="262"/>
      <c r="JEK78" s="262"/>
      <c r="JEL78" s="262"/>
      <c r="JEM78" s="262"/>
      <c r="JEN78" s="262"/>
      <c r="JEO78" s="262"/>
      <c r="JEP78" s="262"/>
      <c r="JEQ78" s="262"/>
      <c r="JER78" s="262"/>
      <c r="JES78" s="262"/>
      <c r="JET78" s="262"/>
      <c r="JEU78" s="262"/>
      <c r="JEV78" s="262"/>
      <c r="JEW78" s="262"/>
      <c r="JEX78" s="262"/>
      <c r="JEY78" s="262"/>
      <c r="JEZ78" s="262"/>
      <c r="JFA78" s="262"/>
      <c r="JFB78" s="262"/>
      <c r="JFC78" s="262"/>
      <c r="JFD78" s="262"/>
      <c r="JFE78" s="262"/>
      <c r="JFF78" s="262"/>
      <c r="JFG78" s="262"/>
      <c r="JFH78" s="262"/>
      <c r="JFI78" s="262"/>
      <c r="JFJ78" s="262"/>
      <c r="JFK78" s="262"/>
      <c r="JFL78" s="262"/>
      <c r="JFM78" s="262"/>
      <c r="JFN78" s="262"/>
      <c r="JFO78" s="262"/>
      <c r="JFP78" s="262"/>
      <c r="JFQ78" s="262"/>
      <c r="JFR78" s="262"/>
      <c r="JFS78" s="262"/>
      <c r="JFT78" s="262"/>
      <c r="JFU78" s="262"/>
      <c r="JFV78" s="262"/>
      <c r="JFW78" s="262"/>
      <c r="JFX78" s="262"/>
      <c r="JFY78" s="262"/>
      <c r="JFZ78" s="262"/>
      <c r="JGA78" s="262"/>
      <c r="JGB78" s="262"/>
      <c r="JGC78" s="262"/>
      <c r="JGD78" s="262"/>
      <c r="JGE78" s="262"/>
      <c r="JGF78" s="262"/>
      <c r="JGG78" s="262"/>
      <c r="JGH78" s="262"/>
      <c r="JGI78" s="262"/>
      <c r="JGJ78" s="262"/>
      <c r="JGK78" s="262"/>
      <c r="JGL78" s="262"/>
      <c r="JGM78" s="262"/>
      <c r="JGN78" s="262"/>
      <c r="JGO78" s="262"/>
      <c r="JGP78" s="262"/>
      <c r="JGQ78" s="262"/>
      <c r="JGR78" s="262"/>
      <c r="JGS78" s="262"/>
      <c r="JGT78" s="262"/>
      <c r="JGU78" s="262"/>
      <c r="JGV78" s="262"/>
      <c r="JGW78" s="262"/>
      <c r="JGX78" s="262"/>
      <c r="JGY78" s="262"/>
      <c r="JGZ78" s="262"/>
      <c r="JHA78" s="262"/>
      <c r="JHB78" s="262"/>
      <c r="JHC78" s="262"/>
      <c r="JHD78" s="262"/>
      <c r="JHE78" s="262"/>
      <c r="JHF78" s="262"/>
      <c r="JHG78" s="262"/>
      <c r="JHH78" s="262"/>
      <c r="JHI78" s="262"/>
      <c r="JHJ78" s="262"/>
      <c r="JHK78" s="262"/>
      <c r="JHL78" s="262"/>
      <c r="JHM78" s="262"/>
      <c r="JHN78" s="262"/>
      <c r="JHO78" s="262"/>
      <c r="JHP78" s="262"/>
      <c r="JHQ78" s="262"/>
      <c r="JHR78" s="262"/>
      <c r="JHS78" s="262"/>
      <c r="JHT78" s="262"/>
      <c r="JHU78" s="262"/>
      <c r="JHV78" s="262"/>
      <c r="JHW78" s="262"/>
      <c r="JHX78" s="262"/>
      <c r="JHY78" s="262"/>
      <c r="JHZ78" s="262"/>
      <c r="JIA78" s="262"/>
      <c r="JIB78" s="262"/>
      <c r="JIC78" s="262"/>
      <c r="JID78" s="262"/>
      <c r="JIE78" s="262"/>
      <c r="JIF78" s="262"/>
      <c r="JIG78" s="262"/>
      <c r="JIH78" s="262"/>
      <c r="JII78" s="262"/>
      <c r="JIJ78" s="262"/>
      <c r="JIK78" s="262"/>
      <c r="JIL78" s="262"/>
      <c r="JIM78" s="262"/>
      <c r="JIN78" s="262"/>
      <c r="JIO78" s="262"/>
      <c r="JIP78" s="262"/>
      <c r="JIQ78" s="262"/>
      <c r="JIR78" s="262"/>
      <c r="JIS78" s="262"/>
      <c r="JIT78" s="262"/>
      <c r="JIU78" s="262"/>
      <c r="JIV78" s="262"/>
      <c r="JIW78" s="262"/>
      <c r="JIX78" s="262"/>
      <c r="JIY78" s="262"/>
      <c r="JIZ78" s="262"/>
      <c r="JJA78" s="262"/>
      <c r="JJB78" s="262"/>
      <c r="JJC78" s="262"/>
      <c r="JJD78" s="262"/>
      <c r="JJE78" s="262"/>
      <c r="JJF78" s="262"/>
      <c r="JJG78" s="262"/>
      <c r="JJH78" s="262"/>
      <c r="JJI78" s="262"/>
      <c r="JJJ78" s="262"/>
      <c r="JJK78" s="262"/>
      <c r="JJL78" s="262"/>
      <c r="JJM78" s="262"/>
      <c r="JJN78" s="262"/>
      <c r="JJO78" s="262"/>
      <c r="JJP78" s="262"/>
      <c r="JJQ78" s="262"/>
      <c r="JJR78" s="262"/>
      <c r="JJS78" s="262"/>
      <c r="JJT78" s="262"/>
      <c r="JJU78" s="262"/>
      <c r="JJV78" s="262"/>
      <c r="JJW78" s="262"/>
      <c r="JJX78" s="262"/>
      <c r="JJY78" s="262"/>
      <c r="JJZ78" s="262"/>
      <c r="JKA78" s="262"/>
      <c r="JKB78" s="262"/>
      <c r="JKC78" s="262"/>
      <c r="JKD78" s="262"/>
      <c r="JKE78" s="262"/>
      <c r="JKF78" s="262"/>
      <c r="JKG78" s="262"/>
      <c r="JKH78" s="262"/>
      <c r="JKI78" s="262"/>
      <c r="JKJ78" s="262"/>
      <c r="JKK78" s="262"/>
      <c r="JKL78" s="262"/>
      <c r="JKM78" s="262"/>
      <c r="JKN78" s="262"/>
      <c r="JKO78" s="262"/>
      <c r="JKP78" s="262"/>
      <c r="JKQ78" s="262"/>
      <c r="JKR78" s="262"/>
      <c r="JKS78" s="262"/>
      <c r="JKT78" s="262"/>
      <c r="JKU78" s="262"/>
      <c r="JKV78" s="262"/>
      <c r="JKW78" s="262"/>
      <c r="JKX78" s="262"/>
      <c r="JKY78" s="262"/>
      <c r="JKZ78" s="262"/>
      <c r="JLA78" s="262"/>
      <c r="JLB78" s="262"/>
      <c r="JLC78" s="262"/>
      <c r="JLD78" s="262"/>
      <c r="JLE78" s="262"/>
      <c r="JLF78" s="262"/>
      <c r="JLG78" s="262"/>
      <c r="JLH78" s="262"/>
      <c r="JLI78" s="262"/>
      <c r="JLJ78" s="262"/>
      <c r="JLK78" s="262"/>
      <c r="JLL78" s="262"/>
      <c r="JLM78" s="262"/>
      <c r="JLN78" s="262"/>
      <c r="JLO78" s="262"/>
      <c r="JLP78" s="262"/>
      <c r="JLQ78" s="262"/>
      <c r="JLR78" s="262"/>
      <c r="JLS78" s="262"/>
      <c r="JLT78" s="262"/>
      <c r="JLU78" s="262"/>
      <c r="JLV78" s="262"/>
      <c r="JLW78" s="262"/>
      <c r="JLX78" s="262"/>
      <c r="JLY78" s="262"/>
      <c r="JLZ78" s="262"/>
      <c r="JMA78" s="262"/>
      <c r="JMB78" s="262"/>
      <c r="JMC78" s="262"/>
      <c r="JMD78" s="262"/>
      <c r="JME78" s="262"/>
      <c r="JMF78" s="262"/>
      <c r="JMG78" s="262"/>
      <c r="JMH78" s="262"/>
      <c r="JMI78" s="262"/>
      <c r="JMJ78" s="262"/>
      <c r="JMK78" s="262"/>
      <c r="JML78" s="262"/>
      <c r="JMM78" s="262"/>
      <c r="JMN78" s="262"/>
      <c r="JMO78" s="262"/>
      <c r="JMP78" s="262"/>
      <c r="JMQ78" s="262"/>
      <c r="JMR78" s="262"/>
      <c r="JMS78" s="262"/>
      <c r="JMT78" s="262"/>
      <c r="JMU78" s="262"/>
      <c r="JMV78" s="262"/>
      <c r="JMW78" s="262"/>
      <c r="JMX78" s="262"/>
      <c r="JMY78" s="262"/>
      <c r="JMZ78" s="262"/>
      <c r="JNA78" s="262"/>
      <c r="JNB78" s="262"/>
      <c r="JNC78" s="262"/>
      <c r="JND78" s="262"/>
      <c r="JNE78" s="262"/>
      <c r="JNF78" s="262"/>
      <c r="JNG78" s="262"/>
      <c r="JNH78" s="262"/>
      <c r="JNI78" s="262"/>
      <c r="JNJ78" s="262"/>
      <c r="JNK78" s="262"/>
      <c r="JNL78" s="262"/>
      <c r="JNM78" s="262"/>
      <c r="JNN78" s="262"/>
      <c r="JNO78" s="262"/>
      <c r="JNP78" s="262"/>
      <c r="JNQ78" s="262"/>
      <c r="JNR78" s="262"/>
      <c r="JNS78" s="262"/>
      <c r="JNT78" s="262"/>
      <c r="JNU78" s="262"/>
      <c r="JNV78" s="262"/>
      <c r="JNW78" s="262"/>
      <c r="JNX78" s="262"/>
      <c r="JNY78" s="262"/>
      <c r="JNZ78" s="262"/>
      <c r="JOA78" s="262"/>
      <c r="JOB78" s="262"/>
      <c r="JOC78" s="262"/>
      <c r="JOD78" s="262"/>
      <c r="JOE78" s="262"/>
      <c r="JOF78" s="262"/>
      <c r="JOG78" s="262"/>
      <c r="JOH78" s="262"/>
      <c r="JOI78" s="262"/>
      <c r="JOJ78" s="262"/>
      <c r="JOK78" s="262"/>
      <c r="JOL78" s="262"/>
      <c r="JOM78" s="262"/>
      <c r="JON78" s="262"/>
      <c r="JOO78" s="262"/>
      <c r="JOP78" s="262"/>
      <c r="JOQ78" s="262"/>
      <c r="JOR78" s="262"/>
      <c r="JOS78" s="262"/>
      <c r="JOT78" s="262"/>
      <c r="JOU78" s="262"/>
      <c r="JOV78" s="262"/>
      <c r="JOW78" s="262"/>
      <c r="JOX78" s="262"/>
      <c r="JOY78" s="262"/>
      <c r="JOZ78" s="262"/>
      <c r="JPA78" s="262"/>
      <c r="JPB78" s="262"/>
      <c r="JPC78" s="262"/>
      <c r="JPD78" s="262"/>
      <c r="JPE78" s="262"/>
      <c r="JPF78" s="262"/>
      <c r="JPG78" s="262"/>
      <c r="JPH78" s="262"/>
      <c r="JPI78" s="262"/>
      <c r="JPJ78" s="262"/>
      <c r="JPK78" s="262"/>
      <c r="JPL78" s="262"/>
      <c r="JPM78" s="262"/>
      <c r="JPN78" s="262"/>
      <c r="JPO78" s="262"/>
      <c r="JPP78" s="262"/>
      <c r="JPQ78" s="262"/>
      <c r="JPR78" s="262"/>
      <c r="JPS78" s="262"/>
      <c r="JPT78" s="262"/>
      <c r="JPU78" s="262"/>
      <c r="JPV78" s="262"/>
      <c r="JPW78" s="262"/>
      <c r="JPX78" s="262"/>
      <c r="JPY78" s="262"/>
      <c r="JPZ78" s="262"/>
      <c r="JQA78" s="262"/>
      <c r="JQB78" s="262"/>
      <c r="JQC78" s="262"/>
      <c r="JQD78" s="262"/>
      <c r="JQE78" s="262"/>
      <c r="JQF78" s="262"/>
      <c r="JQG78" s="262"/>
      <c r="JQH78" s="262"/>
      <c r="JQI78" s="262"/>
      <c r="JQJ78" s="262"/>
      <c r="JQK78" s="262"/>
      <c r="JQL78" s="262"/>
      <c r="JQM78" s="262"/>
      <c r="JQN78" s="262"/>
      <c r="JQO78" s="262"/>
      <c r="JQP78" s="262"/>
      <c r="JQQ78" s="262"/>
      <c r="JQR78" s="262"/>
      <c r="JQS78" s="262"/>
      <c r="JQT78" s="262"/>
      <c r="JQU78" s="262"/>
      <c r="JQV78" s="262"/>
      <c r="JQW78" s="262"/>
      <c r="JQX78" s="262"/>
      <c r="JQY78" s="262"/>
      <c r="JQZ78" s="262"/>
      <c r="JRA78" s="262"/>
      <c r="JRB78" s="262"/>
      <c r="JRC78" s="262"/>
      <c r="JRD78" s="262"/>
      <c r="JRE78" s="262"/>
      <c r="JRF78" s="262"/>
      <c r="JRG78" s="262"/>
      <c r="JRH78" s="262"/>
      <c r="JRI78" s="262"/>
      <c r="JRJ78" s="262"/>
      <c r="JRK78" s="262"/>
      <c r="JRL78" s="262"/>
      <c r="JRM78" s="262"/>
      <c r="JRN78" s="262"/>
      <c r="JRO78" s="262"/>
      <c r="JRP78" s="262"/>
      <c r="JRQ78" s="262"/>
      <c r="JRR78" s="262"/>
      <c r="JRS78" s="262"/>
      <c r="JRT78" s="262"/>
      <c r="JRU78" s="262"/>
      <c r="JRV78" s="262"/>
      <c r="JRW78" s="262"/>
      <c r="JRX78" s="262"/>
      <c r="JRY78" s="262"/>
      <c r="JRZ78" s="262"/>
      <c r="JSA78" s="262"/>
      <c r="JSB78" s="262"/>
      <c r="JSC78" s="262"/>
      <c r="JSD78" s="262"/>
      <c r="JSE78" s="262"/>
      <c r="JSF78" s="262"/>
      <c r="JSG78" s="262"/>
      <c r="JSH78" s="262"/>
      <c r="JSI78" s="262"/>
      <c r="JSJ78" s="262"/>
      <c r="JSK78" s="262"/>
      <c r="JSL78" s="262"/>
      <c r="JSM78" s="262"/>
      <c r="JSN78" s="262"/>
      <c r="JSO78" s="262"/>
      <c r="JSP78" s="262"/>
      <c r="JSQ78" s="262"/>
      <c r="JSR78" s="262"/>
      <c r="JSS78" s="262"/>
      <c r="JST78" s="262"/>
      <c r="JSU78" s="262"/>
      <c r="JSV78" s="262"/>
      <c r="JSW78" s="262"/>
      <c r="JSX78" s="262"/>
      <c r="JSY78" s="262"/>
      <c r="JSZ78" s="262"/>
      <c r="JTA78" s="262"/>
      <c r="JTB78" s="262"/>
      <c r="JTC78" s="262"/>
      <c r="JTD78" s="262"/>
      <c r="JTE78" s="262"/>
      <c r="JTF78" s="262"/>
      <c r="JTG78" s="262"/>
      <c r="JTH78" s="262"/>
      <c r="JTI78" s="262"/>
      <c r="JTJ78" s="262"/>
      <c r="JTK78" s="262"/>
      <c r="JTL78" s="262"/>
      <c r="JTM78" s="262"/>
      <c r="JTN78" s="262"/>
      <c r="JTO78" s="262"/>
      <c r="JTP78" s="262"/>
      <c r="JTQ78" s="262"/>
      <c r="JTR78" s="262"/>
      <c r="JTS78" s="262"/>
      <c r="JTT78" s="262"/>
      <c r="JTU78" s="262"/>
      <c r="JTV78" s="262"/>
      <c r="JTW78" s="262"/>
      <c r="JTX78" s="262"/>
      <c r="JTY78" s="262"/>
      <c r="JTZ78" s="262"/>
      <c r="JUA78" s="262"/>
      <c r="JUB78" s="262"/>
      <c r="JUC78" s="262"/>
      <c r="JUD78" s="262"/>
      <c r="JUE78" s="262"/>
      <c r="JUF78" s="262"/>
      <c r="JUG78" s="262"/>
      <c r="JUH78" s="262"/>
      <c r="JUI78" s="262"/>
      <c r="JUJ78" s="262"/>
      <c r="JUK78" s="262"/>
      <c r="JUL78" s="262"/>
      <c r="JUM78" s="262"/>
      <c r="JUN78" s="262"/>
      <c r="JUO78" s="262"/>
      <c r="JUP78" s="262"/>
      <c r="JUQ78" s="262"/>
      <c r="JUR78" s="262"/>
      <c r="JUS78" s="262"/>
      <c r="JUT78" s="262"/>
      <c r="JUU78" s="262"/>
      <c r="JUV78" s="262"/>
      <c r="JUW78" s="262"/>
      <c r="JUX78" s="262"/>
      <c r="JUY78" s="262"/>
      <c r="JUZ78" s="262"/>
      <c r="JVA78" s="262"/>
      <c r="JVB78" s="262"/>
      <c r="JVC78" s="262"/>
      <c r="JVD78" s="262"/>
      <c r="JVE78" s="262"/>
      <c r="JVF78" s="262"/>
      <c r="JVG78" s="262"/>
      <c r="JVH78" s="262"/>
      <c r="JVI78" s="262"/>
      <c r="JVJ78" s="262"/>
      <c r="JVK78" s="262"/>
      <c r="JVL78" s="262"/>
      <c r="JVM78" s="262"/>
      <c r="JVN78" s="262"/>
      <c r="JVO78" s="262"/>
      <c r="JVP78" s="262"/>
      <c r="JVQ78" s="262"/>
      <c r="JVR78" s="262"/>
      <c r="JVS78" s="262"/>
      <c r="JVT78" s="262"/>
      <c r="JVU78" s="262"/>
      <c r="JVV78" s="262"/>
      <c r="JVW78" s="262"/>
      <c r="JVX78" s="262"/>
      <c r="JVY78" s="262"/>
      <c r="JVZ78" s="262"/>
      <c r="JWA78" s="262"/>
      <c r="JWB78" s="262"/>
      <c r="JWC78" s="262"/>
      <c r="JWD78" s="262"/>
      <c r="JWE78" s="262"/>
      <c r="JWF78" s="262"/>
      <c r="JWG78" s="262"/>
      <c r="JWH78" s="262"/>
      <c r="JWI78" s="262"/>
      <c r="JWJ78" s="262"/>
      <c r="JWK78" s="262"/>
      <c r="JWL78" s="262"/>
      <c r="JWM78" s="262"/>
      <c r="JWN78" s="262"/>
      <c r="JWO78" s="262"/>
      <c r="JWP78" s="262"/>
      <c r="JWQ78" s="262"/>
      <c r="JWR78" s="262"/>
      <c r="JWS78" s="262"/>
      <c r="JWT78" s="262"/>
      <c r="JWU78" s="262"/>
      <c r="JWV78" s="262"/>
      <c r="JWW78" s="262"/>
      <c r="JWX78" s="262"/>
      <c r="JWY78" s="262"/>
      <c r="JWZ78" s="262"/>
      <c r="JXA78" s="262"/>
      <c r="JXB78" s="262"/>
      <c r="JXC78" s="262"/>
      <c r="JXD78" s="262"/>
      <c r="JXE78" s="262"/>
      <c r="JXF78" s="262"/>
      <c r="JXG78" s="262"/>
      <c r="JXH78" s="262"/>
      <c r="JXI78" s="262"/>
      <c r="JXJ78" s="262"/>
      <c r="JXK78" s="262"/>
      <c r="JXL78" s="262"/>
      <c r="JXM78" s="262"/>
      <c r="JXN78" s="262"/>
      <c r="JXO78" s="262"/>
      <c r="JXP78" s="262"/>
      <c r="JXQ78" s="262"/>
      <c r="JXR78" s="262"/>
      <c r="JXS78" s="262"/>
      <c r="JXT78" s="262"/>
      <c r="JXU78" s="262"/>
      <c r="JXV78" s="262"/>
      <c r="JXW78" s="262"/>
      <c r="JXX78" s="262"/>
      <c r="JXY78" s="262"/>
      <c r="JXZ78" s="262"/>
      <c r="JYA78" s="262"/>
      <c r="JYB78" s="262"/>
      <c r="JYC78" s="262"/>
      <c r="JYD78" s="262"/>
      <c r="JYE78" s="262"/>
      <c r="JYF78" s="262"/>
      <c r="JYG78" s="262"/>
      <c r="JYH78" s="262"/>
      <c r="JYI78" s="262"/>
      <c r="JYJ78" s="262"/>
      <c r="JYK78" s="262"/>
      <c r="JYL78" s="262"/>
      <c r="JYM78" s="262"/>
      <c r="JYN78" s="262"/>
      <c r="JYO78" s="262"/>
      <c r="JYP78" s="262"/>
      <c r="JYQ78" s="262"/>
      <c r="JYR78" s="262"/>
      <c r="JYS78" s="262"/>
      <c r="JYT78" s="262"/>
      <c r="JYU78" s="262"/>
      <c r="JYV78" s="262"/>
      <c r="JYW78" s="262"/>
      <c r="JYX78" s="262"/>
      <c r="JYY78" s="262"/>
      <c r="JYZ78" s="262"/>
      <c r="JZA78" s="262"/>
      <c r="JZB78" s="262"/>
      <c r="JZC78" s="262"/>
      <c r="JZD78" s="262"/>
      <c r="JZE78" s="262"/>
      <c r="JZF78" s="262"/>
      <c r="JZG78" s="262"/>
      <c r="JZH78" s="262"/>
      <c r="JZI78" s="262"/>
      <c r="JZJ78" s="262"/>
      <c r="JZK78" s="262"/>
      <c r="JZL78" s="262"/>
      <c r="JZM78" s="262"/>
      <c r="JZN78" s="262"/>
      <c r="JZO78" s="262"/>
      <c r="JZP78" s="262"/>
      <c r="JZQ78" s="262"/>
      <c r="JZR78" s="262"/>
      <c r="JZS78" s="262"/>
      <c r="JZT78" s="262"/>
      <c r="JZU78" s="262"/>
      <c r="JZV78" s="262"/>
      <c r="JZW78" s="262"/>
      <c r="JZX78" s="262"/>
      <c r="JZY78" s="262"/>
      <c r="JZZ78" s="262"/>
      <c r="KAA78" s="262"/>
      <c r="KAB78" s="262"/>
      <c r="KAC78" s="262"/>
      <c r="KAD78" s="262"/>
      <c r="KAE78" s="262"/>
      <c r="KAF78" s="262"/>
      <c r="KAG78" s="262"/>
      <c r="KAH78" s="262"/>
      <c r="KAI78" s="262"/>
      <c r="KAJ78" s="262"/>
      <c r="KAK78" s="262"/>
      <c r="KAL78" s="262"/>
      <c r="KAM78" s="262"/>
      <c r="KAN78" s="262"/>
      <c r="KAO78" s="262"/>
      <c r="KAP78" s="262"/>
      <c r="KAQ78" s="262"/>
      <c r="KAR78" s="262"/>
      <c r="KAS78" s="262"/>
      <c r="KAT78" s="262"/>
      <c r="KAU78" s="262"/>
      <c r="KAV78" s="262"/>
      <c r="KAW78" s="262"/>
      <c r="KAX78" s="262"/>
      <c r="KAY78" s="262"/>
      <c r="KAZ78" s="262"/>
      <c r="KBA78" s="262"/>
      <c r="KBB78" s="262"/>
      <c r="KBC78" s="262"/>
      <c r="KBD78" s="262"/>
      <c r="KBE78" s="262"/>
      <c r="KBF78" s="262"/>
      <c r="KBG78" s="262"/>
      <c r="KBH78" s="262"/>
      <c r="KBI78" s="262"/>
      <c r="KBJ78" s="262"/>
      <c r="KBK78" s="262"/>
      <c r="KBL78" s="262"/>
      <c r="KBM78" s="262"/>
      <c r="KBN78" s="262"/>
      <c r="KBO78" s="262"/>
      <c r="KBP78" s="262"/>
      <c r="KBQ78" s="262"/>
      <c r="KBR78" s="262"/>
      <c r="KBS78" s="262"/>
      <c r="KBT78" s="262"/>
      <c r="KBU78" s="262"/>
      <c r="KBV78" s="262"/>
      <c r="KBW78" s="262"/>
      <c r="KBX78" s="262"/>
      <c r="KBY78" s="262"/>
      <c r="KBZ78" s="262"/>
      <c r="KCA78" s="262"/>
      <c r="KCB78" s="262"/>
      <c r="KCC78" s="262"/>
      <c r="KCD78" s="262"/>
      <c r="KCE78" s="262"/>
      <c r="KCF78" s="262"/>
      <c r="KCG78" s="262"/>
      <c r="KCH78" s="262"/>
      <c r="KCI78" s="262"/>
      <c r="KCJ78" s="262"/>
      <c r="KCK78" s="262"/>
      <c r="KCL78" s="262"/>
      <c r="KCM78" s="262"/>
      <c r="KCN78" s="262"/>
      <c r="KCO78" s="262"/>
      <c r="KCP78" s="262"/>
      <c r="KCQ78" s="262"/>
      <c r="KCR78" s="262"/>
      <c r="KCS78" s="262"/>
      <c r="KCT78" s="262"/>
      <c r="KCU78" s="262"/>
      <c r="KCV78" s="262"/>
      <c r="KCW78" s="262"/>
      <c r="KCX78" s="262"/>
      <c r="KCY78" s="262"/>
      <c r="KCZ78" s="262"/>
      <c r="KDA78" s="262"/>
      <c r="KDB78" s="262"/>
      <c r="KDC78" s="262"/>
      <c r="KDD78" s="262"/>
      <c r="KDE78" s="262"/>
      <c r="KDF78" s="262"/>
      <c r="KDG78" s="262"/>
      <c r="KDH78" s="262"/>
      <c r="KDI78" s="262"/>
      <c r="KDJ78" s="262"/>
      <c r="KDK78" s="262"/>
      <c r="KDL78" s="262"/>
      <c r="KDM78" s="262"/>
      <c r="KDN78" s="262"/>
      <c r="KDO78" s="262"/>
      <c r="KDP78" s="262"/>
      <c r="KDQ78" s="262"/>
      <c r="KDR78" s="262"/>
      <c r="KDS78" s="262"/>
      <c r="KDT78" s="262"/>
      <c r="KDU78" s="262"/>
      <c r="KDV78" s="262"/>
      <c r="KDW78" s="262"/>
      <c r="KDX78" s="262"/>
      <c r="KDY78" s="262"/>
      <c r="KDZ78" s="262"/>
      <c r="KEA78" s="262"/>
      <c r="KEB78" s="262"/>
      <c r="KEC78" s="262"/>
      <c r="KED78" s="262"/>
      <c r="KEE78" s="262"/>
      <c r="KEF78" s="262"/>
      <c r="KEG78" s="262"/>
      <c r="KEH78" s="262"/>
      <c r="KEI78" s="262"/>
      <c r="KEJ78" s="262"/>
      <c r="KEK78" s="262"/>
      <c r="KEL78" s="262"/>
      <c r="KEM78" s="262"/>
      <c r="KEN78" s="262"/>
      <c r="KEO78" s="262"/>
      <c r="KEP78" s="262"/>
      <c r="KEQ78" s="262"/>
      <c r="KER78" s="262"/>
      <c r="KES78" s="262"/>
      <c r="KET78" s="262"/>
      <c r="KEU78" s="262"/>
      <c r="KEV78" s="262"/>
      <c r="KEW78" s="262"/>
      <c r="KEX78" s="262"/>
      <c r="KEY78" s="262"/>
      <c r="KEZ78" s="262"/>
      <c r="KFA78" s="262"/>
      <c r="KFB78" s="262"/>
      <c r="KFC78" s="262"/>
      <c r="KFD78" s="262"/>
      <c r="KFE78" s="262"/>
      <c r="KFF78" s="262"/>
      <c r="KFG78" s="262"/>
      <c r="KFH78" s="262"/>
      <c r="KFI78" s="262"/>
      <c r="KFJ78" s="262"/>
      <c r="KFK78" s="262"/>
      <c r="KFL78" s="262"/>
      <c r="KFM78" s="262"/>
      <c r="KFN78" s="262"/>
      <c r="KFO78" s="262"/>
      <c r="KFP78" s="262"/>
      <c r="KFQ78" s="262"/>
      <c r="KFR78" s="262"/>
      <c r="KFS78" s="262"/>
      <c r="KFT78" s="262"/>
      <c r="KFU78" s="262"/>
      <c r="KFV78" s="262"/>
      <c r="KFW78" s="262"/>
      <c r="KFX78" s="262"/>
      <c r="KFY78" s="262"/>
      <c r="KFZ78" s="262"/>
      <c r="KGA78" s="262"/>
      <c r="KGB78" s="262"/>
      <c r="KGC78" s="262"/>
      <c r="KGD78" s="262"/>
      <c r="KGE78" s="262"/>
      <c r="KGF78" s="262"/>
      <c r="KGG78" s="262"/>
      <c r="KGH78" s="262"/>
      <c r="KGI78" s="262"/>
      <c r="KGJ78" s="262"/>
      <c r="KGK78" s="262"/>
      <c r="KGL78" s="262"/>
      <c r="KGM78" s="262"/>
      <c r="KGN78" s="262"/>
      <c r="KGO78" s="262"/>
      <c r="KGP78" s="262"/>
      <c r="KGQ78" s="262"/>
      <c r="KGR78" s="262"/>
      <c r="KGS78" s="262"/>
      <c r="KGT78" s="262"/>
      <c r="KGU78" s="262"/>
      <c r="KGV78" s="262"/>
      <c r="KGW78" s="262"/>
      <c r="KGX78" s="262"/>
      <c r="KGY78" s="262"/>
      <c r="KGZ78" s="262"/>
      <c r="KHA78" s="262"/>
      <c r="KHB78" s="262"/>
      <c r="KHC78" s="262"/>
      <c r="KHD78" s="262"/>
      <c r="KHE78" s="262"/>
      <c r="KHF78" s="262"/>
      <c r="KHG78" s="262"/>
      <c r="KHH78" s="262"/>
      <c r="KHI78" s="262"/>
      <c r="KHJ78" s="262"/>
      <c r="KHK78" s="262"/>
      <c r="KHL78" s="262"/>
      <c r="KHM78" s="262"/>
      <c r="KHN78" s="262"/>
      <c r="KHO78" s="262"/>
      <c r="KHP78" s="262"/>
      <c r="KHQ78" s="262"/>
      <c r="KHR78" s="262"/>
      <c r="KHS78" s="262"/>
      <c r="KHT78" s="262"/>
      <c r="KHU78" s="262"/>
      <c r="KHV78" s="262"/>
      <c r="KHW78" s="262"/>
      <c r="KHX78" s="262"/>
      <c r="KHY78" s="262"/>
      <c r="KHZ78" s="262"/>
      <c r="KIA78" s="262"/>
      <c r="KIB78" s="262"/>
      <c r="KIC78" s="262"/>
      <c r="KID78" s="262"/>
      <c r="KIE78" s="262"/>
      <c r="KIF78" s="262"/>
      <c r="KIG78" s="262"/>
      <c r="KIH78" s="262"/>
      <c r="KII78" s="262"/>
      <c r="KIJ78" s="262"/>
      <c r="KIK78" s="262"/>
      <c r="KIL78" s="262"/>
      <c r="KIM78" s="262"/>
      <c r="KIN78" s="262"/>
      <c r="KIO78" s="262"/>
      <c r="KIP78" s="262"/>
      <c r="KIQ78" s="262"/>
      <c r="KIR78" s="262"/>
      <c r="KIS78" s="262"/>
      <c r="KIT78" s="262"/>
      <c r="KIU78" s="262"/>
      <c r="KIV78" s="262"/>
      <c r="KIW78" s="262"/>
      <c r="KIX78" s="262"/>
      <c r="KIY78" s="262"/>
      <c r="KIZ78" s="262"/>
      <c r="KJA78" s="262"/>
      <c r="KJB78" s="262"/>
      <c r="KJC78" s="262"/>
      <c r="KJD78" s="262"/>
      <c r="KJE78" s="262"/>
      <c r="KJF78" s="262"/>
      <c r="KJG78" s="262"/>
      <c r="KJH78" s="262"/>
      <c r="KJI78" s="262"/>
      <c r="KJJ78" s="262"/>
      <c r="KJK78" s="262"/>
      <c r="KJL78" s="262"/>
      <c r="KJM78" s="262"/>
      <c r="KJN78" s="262"/>
      <c r="KJO78" s="262"/>
      <c r="KJP78" s="262"/>
      <c r="KJQ78" s="262"/>
      <c r="KJR78" s="262"/>
      <c r="KJS78" s="262"/>
      <c r="KJT78" s="262"/>
      <c r="KJU78" s="262"/>
      <c r="KJV78" s="262"/>
      <c r="KJW78" s="262"/>
      <c r="KJX78" s="262"/>
      <c r="KJY78" s="262"/>
      <c r="KJZ78" s="262"/>
      <c r="KKA78" s="262"/>
      <c r="KKB78" s="262"/>
      <c r="KKC78" s="262"/>
      <c r="KKD78" s="262"/>
      <c r="KKE78" s="262"/>
      <c r="KKF78" s="262"/>
      <c r="KKG78" s="262"/>
      <c r="KKH78" s="262"/>
      <c r="KKI78" s="262"/>
      <c r="KKJ78" s="262"/>
      <c r="KKK78" s="262"/>
      <c r="KKL78" s="262"/>
      <c r="KKM78" s="262"/>
      <c r="KKN78" s="262"/>
      <c r="KKO78" s="262"/>
      <c r="KKP78" s="262"/>
      <c r="KKQ78" s="262"/>
      <c r="KKR78" s="262"/>
      <c r="KKS78" s="262"/>
      <c r="KKT78" s="262"/>
      <c r="KKU78" s="262"/>
      <c r="KKV78" s="262"/>
      <c r="KKW78" s="262"/>
      <c r="KKX78" s="262"/>
      <c r="KKY78" s="262"/>
      <c r="KKZ78" s="262"/>
      <c r="KLA78" s="262"/>
      <c r="KLB78" s="262"/>
      <c r="KLC78" s="262"/>
      <c r="KLD78" s="262"/>
      <c r="KLE78" s="262"/>
      <c r="KLF78" s="262"/>
      <c r="KLG78" s="262"/>
      <c r="KLH78" s="262"/>
      <c r="KLI78" s="262"/>
      <c r="KLJ78" s="262"/>
      <c r="KLK78" s="262"/>
      <c r="KLL78" s="262"/>
      <c r="KLM78" s="262"/>
      <c r="KLN78" s="262"/>
      <c r="KLO78" s="262"/>
      <c r="KLP78" s="262"/>
      <c r="KLQ78" s="262"/>
      <c r="KLR78" s="262"/>
      <c r="KLS78" s="262"/>
      <c r="KLT78" s="262"/>
      <c r="KLU78" s="262"/>
      <c r="KLV78" s="262"/>
      <c r="KLW78" s="262"/>
      <c r="KLX78" s="262"/>
      <c r="KLY78" s="262"/>
      <c r="KLZ78" s="262"/>
      <c r="KMA78" s="262"/>
      <c r="KMB78" s="262"/>
      <c r="KMC78" s="262"/>
      <c r="KMD78" s="262"/>
      <c r="KME78" s="262"/>
      <c r="KMF78" s="262"/>
      <c r="KMG78" s="262"/>
      <c r="KMH78" s="262"/>
      <c r="KMI78" s="262"/>
      <c r="KMJ78" s="262"/>
      <c r="KMK78" s="262"/>
      <c r="KML78" s="262"/>
      <c r="KMM78" s="262"/>
      <c r="KMN78" s="262"/>
      <c r="KMO78" s="262"/>
      <c r="KMP78" s="262"/>
      <c r="KMQ78" s="262"/>
      <c r="KMR78" s="262"/>
      <c r="KMS78" s="262"/>
      <c r="KMT78" s="262"/>
      <c r="KMU78" s="262"/>
      <c r="KMV78" s="262"/>
      <c r="KMW78" s="262"/>
      <c r="KMX78" s="262"/>
      <c r="KMY78" s="262"/>
      <c r="KMZ78" s="262"/>
      <c r="KNA78" s="262"/>
      <c r="KNB78" s="262"/>
      <c r="KNC78" s="262"/>
      <c r="KND78" s="262"/>
      <c r="KNE78" s="262"/>
      <c r="KNF78" s="262"/>
      <c r="KNG78" s="262"/>
      <c r="KNH78" s="262"/>
      <c r="KNI78" s="262"/>
      <c r="KNJ78" s="262"/>
      <c r="KNK78" s="262"/>
      <c r="KNL78" s="262"/>
      <c r="KNM78" s="262"/>
      <c r="KNN78" s="262"/>
      <c r="KNO78" s="262"/>
      <c r="KNP78" s="262"/>
      <c r="KNQ78" s="262"/>
      <c r="KNR78" s="262"/>
      <c r="KNS78" s="262"/>
      <c r="KNT78" s="262"/>
      <c r="KNU78" s="262"/>
      <c r="KNV78" s="262"/>
      <c r="KNW78" s="262"/>
      <c r="KNX78" s="262"/>
      <c r="KNY78" s="262"/>
      <c r="KNZ78" s="262"/>
      <c r="KOA78" s="262"/>
      <c r="KOB78" s="262"/>
      <c r="KOC78" s="262"/>
      <c r="KOD78" s="262"/>
      <c r="KOE78" s="262"/>
      <c r="KOF78" s="262"/>
      <c r="KOG78" s="262"/>
      <c r="KOH78" s="262"/>
      <c r="KOI78" s="262"/>
      <c r="KOJ78" s="262"/>
      <c r="KOK78" s="262"/>
      <c r="KOL78" s="262"/>
      <c r="KOM78" s="262"/>
      <c r="KON78" s="262"/>
      <c r="KOO78" s="262"/>
      <c r="KOP78" s="262"/>
      <c r="KOQ78" s="262"/>
      <c r="KOR78" s="262"/>
      <c r="KOS78" s="262"/>
      <c r="KOT78" s="262"/>
      <c r="KOU78" s="262"/>
      <c r="KOV78" s="262"/>
      <c r="KOW78" s="262"/>
      <c r="KOX78" s="262"/>
      <c r="KOY78" s="262"/>
      <c r="KOZ78" s="262"/>
      <c r="KPA78" s="262"/>
      <c r="KPB78" s="262"/>
      <c r="KPC78" s="262"/>
      <c r="KPD78" s="262"/>
      <c r="KPE78" s="262"/>
      <c r="KPF78" s="262"/>
      <c r="KPG78" s="262"/>
      <c r="KPH78" s="262"/>
      <c r="KPI78" s="262"/>
      <c r="KPJ78" s="262"/>
      <c r="KPK78" s="262"/>
      <c r="KPL78" s="262"/>
      <c r="KPM78" s="262"/>
      <c r="KPN78" s="262"/>
      <c r="KPO78" s="262"/>
      <c r="KPP78" s="262"/>
      <c r="KPQ78" s="262"/>
      <c r="KPR78" s="262"/>
      <c r="KPS78" s="262"/>
      <c r="KPT78" s="262"/>
      <c r="KPU78" s="262"/>
      <c r="KPV78" s="262"/>
      <c r="KPW78" s="262"/>
      <c r="KPX78" s="262"/>
      <c r="KPY78" s="262"/>
      <c r="KPZ78" s="262"/>
      <c r="KQA78" s="262"/>
      <c r="KQB78" s="262"/>
      <c r="KQC78" s="262"/>
      <c r="KQD78" s="262"/>
      <c r="KQE78" s="262"/>
      <c r="KQF78" s="262"/>
      <c r="KQG78" s="262"/>
      <c r="KQH78" s="262"/>
      <c r="KQI78" s="262"/>
      <c r="KQJ78" s="262"/>
      <c r="KQK78" s="262"/>
      <c r="KQL78" s="262"/>
      <c r="KQM78" s="262"/>
      <c r="KQN78" s="262"/>
      <c r="KQO78" s="262"/>
      <c r="KQP78" s="262"/>
      <c r="KQQ78" s="262"/>
      <c r="KQR78" s="262"/>
      <c r="KQS78" s="262"/>
      <c r="KQT78" s="262"/>
      <c r="KQU78" s="262"/>
      <c r="KQV78" s="262"/>
      <c r="KQW78" s="262"/>
      <c r="KQX78" s="262"/>
      <c r="KQY78" s="262"/>
      <c r="KQZ78" s="262"/>
      <c r="KRA78" s="262"/>
      <c r="KRB78" s="262"/>
      <c r="KRC78" s="262"/>
      <c r="KRD78" s="262"/>
      <c r="KRE78" s="262"/>
      <c r="KRF78" s="262"/>
      <c r="KRG78" s="262"/>
      <c r="KRH78" s="262"/>
      <c r="KRI78" s="262"/>
      <c r="KRJ78" s="262"/>
      <c r="KRK78" s="262"/>
      <c r="KRL78" s="262"/>
      <c r="KRM78" s="262"/>
      <c r="KRN78" s="262"/>
      <c r="KRO78" s="262"/>
      <c r="KRP78" s="262"/>
      <c r="KRQ78" s="262"/>
      <c r="KRR78" s="262"/>
      <c r="KRS78" s="262"/>
      <c r="KRT78" s="262"/>
      <c r="KRU78" s="262"/>
      <c r="KRV78" s="262"/>
      <c r="KRW78" s="262"/>
      <c r="KRX78" s="262"/>
      <c r="KRY78" s="262"/>
      <c r="KRZ78" s="262"/>
      <c r="KSA78" s="262"/>
      <c r="KSB78" s="262"/>
      <c r="KSC78" s="262"/>
      <c r="KSD78" s="262"/>
      <c r="KSE78" s="262"/>
      <c r="KSF78" s="262"/>
      <c r="KSG78" s="262"/>
      <c r="KSH78" s="262"/>
      <c r="KSI78" s="262"/>
      <c r="KSJ78" s="262"/>
      <c r="KSK78" s="262"/>
      <c r="KSL78" s="262"/>
      <c r="KSM78" s="262"/>
      <c r="KSN78" s="262"/>
      <c r="KSO78" s="262"/>
      <c r="KSP78" s="262"/>
      <c r="KSQ78" s="262"/>
      <c r="KSR78" s="262"/>
      <c r="KSS78" s="262"/>
      <c r="KST78" s="262"/>
      <c r="KSU78" s="262"/>
      <c r="KSV78" s="262"/>
      <c r="KSW78" s="262"/>
      <c r="KSX78" s="262"/>
      <c r="KSY78" s="262"/>
      <c r="KSZ78" s="262"/>
      <c r="KTA78" s="262"/>
      <c r="KTB78" s="262"/>
      <c r="KTC78" s="262"/>
      <c r="KTD78" s="262"/>
      <c r="KTE78" s="262"/>
      <c r="KTF78" s="262"/>
      <c r="KTG78" s="262"/>
      <c r="KTH78" s="262"/>
      <c r="KTI78" s="262"/>
      <c r="KTJ78" s="262"/>
      <c r="KTK78" s="262"/>
      <c r="KTL78" s="262"/>
      <c r="KTM78" s="262"/>
      <c r="KTN78" s="262"/>
      <c r="KTO78" s="262"/>
      <c r="KTP78" s="262"/>
      <c r="KTQ78" s="262"/>
      <c r="KTR78" s="262"/>
      <c r="KTS78" s="262"/>
      <c r="KTT78" s="262"/>
      <c r="KTU78" s="262"/>
      <c r="KTV78" s="262"/>
      <c r="KTW78" s="262"/>
      <c r="KTX78" s="262"/>
      <c r="KTY78" s="262"/>
      <c r="KTZ78" s="262"/>
      <c r="KUA78" s="262"/>
      <c r="KUB78" s="262"/>
      <c r="KUC78" s="262"/>
      <c r="KUD78" s="262"/>
      <c r="KUE78" s="262"/>
      <c r="KUF78" s="262"/>
      <c r="KUG78" s="262"/>
      <c r="KUH78" s="262"/>
      <c r="KUI78" s="262"/>
      <c r="KUJ78" s="262"/>
      <c r="KUK78" s="262"/>
      <c r="KUL78" s="262"/>
      <c r="KUM78" s="262"/>
      <c r="KUN78" s="262"/>
      <c r="KUO78" s="262"/>
      <c r="KUP78" s="262"/>
      <c r="KUQ78" s="262"/>
      <c r="KUR78" s="262"/>
      <c r="KUS78" s="262"/>
      <c r="KUT78" s="262"/>
      <c r="KUU78" s="262"/>
      <c r="KUV78" s="262"/>
      <c r="KUW78" s="262"/>
      <c r="KUX78" s="262"/>
      <c r="KUY78" s="262"/>
      <c r="KUZ78" s="262"/>
      <c r="KVA78" s="262"/>
      <c r="KVB78" s="262"/>
      <c r="KVC78" s="262"/>
      <c r="KVD78" s="262"/>
      <c r="KVE78" s="262"/>
      <c r="KVF78" s="262"/>
      <c r="KVG78" s="262"/>
      <c r="KVH78" s="262"/>
      <c r="KVI78" s="262"/>
      <c r="KVJ78" s="262"/>
      <c r="KVK78" s="262"/>
      <c r="KVL78" s="262"/>
      <c r="KVM78" s="262"/>
      <c r="KVN78" s="262"/>
      <c r="KVO78" s="262"/>
      <c r="KVP78" s="262"/>
      <c r="KVQ78" s="262"/>
      <c r="KVR78" s="262"/>
      <c r="KVS78" s="262"/>
      <c r="KVT78" s="262"/>
      <c r="KVU78" s="262"/>
      <c r="KVV78" s="262"/>
      <c r="KVW78" s="262"/>
      <c r="KVX78" s="262"/>
      <c r="KVY78" s="262"/>
      <c r="KVZ78" s="262"/>
      <c r="KWA78" s="262"/>
      <c r="KWB78" s="262"/>
      <c r="KWC78" s="262"/>
      <c r="KWD78" s="262"/>
      <c r="KWE78" s="262"/>
      <c r="KWF78" s="262"/>
      <c r="KWG78" s="262"/>
      <c r="KWH78" s="262"/>
      <c r="KWI78" s="262"/>
      <c r="KWJ78" s="262"/>
      <c r="KWK78" s="262"/>
      <c r="KWL78" s="262"/>
      <c r="KWM78" s="262"/>
      <c r="KWN78" s="262"/>
      <c r="KWO78" s="262"/>
      <c r="KWP78" s="262"/>
      <c r="KWQ78" s="262"/>
      <c r="KWR78" s="262"/>
      <c r="KWS78" s="262"/>
      <c r="KWT78" s="262"/>
      <c r="KWU78" s="262"/>
      <c r="KWV78" s="262"/>
      <c r="KWW78" s="262"/>
      <c r="KWX78" s="262"/>
      <c r="KWY78" s="262"/>
      <c r="KWZ78" s="262"/>
      <c r="KXA78" s="262"/>
      <c r="KXB78" s="262"/>
      <c r="KXC78" s="262"/>
      <c r="KXD78" s="262"/>
      <c r="KXE78" s="262"/>
      <c r="KXF78" s="262"/>
      <c r="KXG78" s="262"/>
      <c r="KXH78" s="262"/>
      <c r="KXI78" s="262"/>
      <c r="KXJ78" s="262"/>
      <c r="KXK78" s="262"/>
      <c r="KXL78" s="262"/>
      <c r="KXM78" s="262"/>
      <c r="KXN78" s="262"/>
      <c r="KXO78" s="262"/>
      <c r="KXP78" s="262"/>
      <c r="KXQ78" s="262"/>
      <c r="KXR78" s="262"/>
      <c r="KXS78" s="262"/>
      <c r="KXT78" s="262"/>
      <c r="KXU78" s="262"/>
      <c r="KXV78" s="262"/>
      <c r="KXW78" s="262"/>
      <c r="KXX78" s="262"/>
      <c r="KXY78" s="262"/>
      <c r="KXZ78" s="262"/>
      <c r="KYA78" s="262"/>
      <c r="KYB78" s="262"/>
      <c r="KYC78" s="262"/>
      <c r="KYD78" s="262"/>
      <c r="KYE78" s="262"/>
      <c r="KYF78" s="262"/>
      <c r="KYG78" s="262"/>
      <c r="KYH78" s="262"/>
      <c r="KYI78" s="262"/>
      <c r="KYJ78" s="262"/>
      <c r="KYK78" s="262"/>
      <c r="KYL78" s="262"/>
      <c r="KYM78" s="262"/>
      <c r="KYN78" s="262"/>
      <c r="KYO78" s="262"/>
      <c r="KYP78" s="262"/>
      <c r="KYQ78" s="262"/>
      <c r="KYR78" s="262"/>
      <c r="KYS78" s="262"/>
      <c r="KYT78" s="262"/>
      <c r="KYU78" s="262"/>
      <c r="KYV78" s="262"/>
      <c r="KYW78" s="262"/>
      <c r="KYX78" s="262"/>
      <c r="KYY78" s="262"/>
      <c r="KYZ78" s="262"/>
      <c r="KZA78" s="262"/>
      <c r="KZB78" s="262"/>
      <c r="KZC78" s="262"/>
      <c r="KZD78" s="262"/>
      <c r="KZE78" s="262"/>
      <c r="KZF78" s="262"/>
      <c r="KZG78" s="262"/>
      <c r="KZH78" s="262"/>
      <c r="KZI78" s="262"/>
      <c r="KZJ78" s="262"/>
      <c r="KZK78" s="262"/>
      <c r="KZL78" s="262"/>
      <c r="KZM78" s="262"/>
      <c r="KZN78" s="262"/>
      <c r="KZO78" s="262"/>
      <c r="KZP78" s="262"/>
      <c r="KZQ78" s="262"/>
      <c r="KZR78" s="262"/>
      <c r="KZS78" s="262"/>
      <c r="KZT78" s="262"/>
      <c r="KZU78" s="262"/>
      <c r="KZV78" s="262"/>
      <c r="KZW78" s="262"/>
      <c r="KZX78" s="262"/>
      <c r="KZY78" s="262"/>
      <c r="KZZ78" s="262"/>
      <c r="LAA78" s="262"/>
      <c r="LAB78" s="262"/>
      <c r="LAC78" s="262"/>
      <c r="LAD78" s="262"/>
      <c r="LAE78" s="262"/>
      <c r="LAF78" s="262"/>
      <c r="LAG78" s="262"/>
      <c r="LAH78" s="262"/>
      <c r="LAI78" s="262"/>
      <c r="LAJ78" s="262"/>
      <c r="LAK78" s="262"/>
      <c r="LAL78" s="262"/>
      <c r="LAM78" s="262"/>
      <c r="LAN78" s="262"/>
      <c r="LAO78" s="262"/>
      <c r="LAP78" s="262"/>
      <c r="LAQ78" s="262"/>
      <c r="LAR78" s="262"/>
      <c r="LAS78" s="262"/>
      <c r="LAT78" s="262"/>
      <c r="LAU78" s="262"/>
      <c r="LAV78" s="262"/>
      <c r="LAW78" s="262"/>
      <c r="LAX78" s="262"/>
      <c r="LAY78" s="262"/>
      <c r="LAZ78" s="262"/>
      <c r="LBA78" s="262"/>
      <c r="LBB78" s="262"/>
      <c r="LBC78" s="262"/>
      <c r="LBD78" s="262"/>
      <c r="LBE78" s="262"/>
      <c r="LBF78" s="262"/>
      <c r="LBG78" s="262"/>
      <c r="LBH78" s="262"/>
      <c r="LBI78" s="262"/>
      <c r="LBJ78" s="262"/>
      <c r="LBK78" s="262"/>
      <c r="LBL78" s="262"/>
      <c r="LBM78" s="262"/>
      <c r="LBN78" s="262"/>
      <c r="LBO78" s="262"/>
      <c r="LBP78" s="262"/>
      <c r="LBQ78" s="262"/>
      <c r="LBR78" s="262"/>
      <c r="LBS78" s="262"/>
      <c r="LBT78" s="262"/>
      <c r="LBU78" s="262"/>
      <c r="LBV78" s="262"/>
      <c r="LBW78" s="262"/>
      <c r="LBX78" s="262"/>
      <c r="LBY78" s="262"/>
      <c r="LBZ78" s="262"/>
      <c r="LCA78" s="262"/>
      <c r="LCB78" s="262"/>
      <c r="LCC78" s="262"/>
      <c r="LCD78" s="262"/>
      <c r="LCE78" s="262"/>
      <c r="LCF78" s="262"/>
      <c r="LCG78" s="262"/>
      <c r="LCH78" s="262"/>
      <c r="LCI78" s="262"/>
      <c r="LCJ78" s="262"/>
      <c r="LCK78" s="262"/>
      <c r="LCL78" s="262"/>
      <c r="LCM78" s="262"/>
      <c r="LCN78" s="262"/>
      <c r="LCO78" s="262"/>
      <c r="LCP78" s="262"/>
      <c r="LCQ78" s="262"/>
      <c r="LCR78" s="262"/>
      <c r="LCS78" s="262"/>
      <c r="LCT78" s="262"/>
      <c r="LCU78" s="262"/>
      <c r="LCV78" s="262"/>
      <c r="LCW78" s="262"/>
      <c r="LCX78" s="262"/>
      <c r="LCY78" s="262"/>
      <c r="LCZ78" s="262"/>
      <c r="LDA78" s="262"/>
      <c r="LDB78" s="262"/>
      <c r="LDC78" s="262"/>
      <c r="LDD78" s="262"/>
      <c r="LDE78" s="262"/>
      <c r="LDF78" s="262"/>
      <c r="LDG78" s="262"/>
      <c r="LDH78" s="262"/>
      <c r="LDI78" s="262"/>
      <c r="LDJ78" s="262"/>
      <c r="LDK78" s="262"/>
      <c r="LDL78" s="262"/>
      <c r="LDM78" s="262"/>
      <c r="LDN78" s="262"/>
      <c r="LDO78" s="262"/>
      <c r="LDP78" s="262"/>
      <c r="LDQ78" s="262"/>
      <c r="LDR78" s="262"/>
      <c r="LDS78" s="262"/>
      <c r="LDT78" s="262"/>
      <c r="LDU78" s="262"/>
      <c r="LDV78" s="262"/>
      <c r="LDW78" s="262"/>
      <c r="LDX78" s="262"/>
      <c r="LDY78" s="262"/>
      <c r="LDZ78" s="262"/>
      <c r="LEA78" s="262"/>
      <c r="LEB78" s="262"/>
      <c r="LEC78" s="262"/>
      <c r="LED78" s="262"/>
      <c r="LEE78" s="262"/>
      <c r="LEF78" s="262"/>
      <c r="LEG78" s="262"/>
      <c r="LEH78" s="262"/>
      <c r="LEI78" s="262"/>
      <c r="LEJ78" s="262"/>
      <c r="LEK78" s="262"/>
      <c r="LEL78" s="262"/>
      <c r="LEM78" s="262"/>
      <c r="LEN78" s="262"/>
      <c r="LEO78" s="262"/>
      <c r="LEP78" s="262"/>
      <c r="LEQ78" s="262"/>
      <c r="LER78" s="262"/>
      <c r="LES78" s="262"/>
      <c r="LET78" s="262"/>
      <c r="LEU78" s="262"/>
      <c r="LEV78" s="262"/>
      <c r="LEW78" s="262"/>
      <c r="LEX78" s="262"/>
      <c r="LEY78" s="262"/>
      <c r="LEZ78" s="262"/>
      <c r="LFA78" s="262"/>
      <c r="LFB78" s="262"/>
      <c r="LFC78" s="262"/>
      <c r="LFD78" s="262"/>
      <c r="LFE78" s="262"/>
      <c r="LFF78" s="262"/>
      <c r="LFG78" s="262"/>
      <c r="LFH78" s="262"/>
      <c r="LFI78" s="262"/>
      <c r="LFJ78" s="262"/>
      <c r="LFK78" s="262"/>
      <c r="LFL78" s="262"/>
      <c r="LFM78" s="262"/>
      <c r="LFN78" s="262"/>
      <c r="LFO78" s="262"/>
      <c r="LFP78" s="262"/>
      <c r="LFQ78" s="262"/>
      <c r="LFR78" s="262"/>
      <c r="LFS78" s="262"/>
      <c r="LFT78" s="262"/>
      <c r="LFU78" s="262"/>
      <c r="LFV78" s="262"/>
      <c r="LFW78" s="262"/>
      <c r="LFX78" s="262"/>
      <c r="LFY78" s="262"/>
      <c r="LFZ78" s="262"/>
      <c r="LGA78" s="262"/>
      <c r="LGB78" s="262"/>
      <c r="LGC78" s="262"/>
      <c r="LGD78" s="262"/>
      <c r="LGE78" s="262"/>
      <c r="LGF78" s="262"/>
      <c r="LGG78" s="262"/>
      <c r="LGH78" s="262"/>
      <c r="LGI78" s="262"/>
      <c r="LGJ78" s="262"/>
      <c r="LGK78" s="262"/>
      <c r="LGL78" s="262"/>
      <c r="LGM78" s="262"/>
      <c r="LGN78" s="262"/>
      <c r="LGO78" s="262"/>
      <c r="LGP78" s="262"/>
      <c r="LGQ78" s="262"/>
      <c r="LGR78" s="262"/>
      <c r="LGS78" s="262"/>
      <c r="LGT78" s="262"/>
      <c r="LGU78" s="262"/>
      <c r="LGV78" s="262"/>
      <c r="LGW78" s="262"/>
      <c r="LGX78" s="262"/>
      <c r="LGY78" s="262"/>
      <c r="LGZ78" s="262"/>
      <c r="LHA78" s="262"/>
      <c r="LHB78" s="262"/>
      <c r="LHC78" s="262"/>
      <c r="LHD78" s="262"/>
      <c r="LHE78" s="262"/>
      <c r="LHF78" s="262"/>
      <c r="LHG78" s="262"/>
      <c r="LHH78" s="262"/>
      <c r="LHI78" s="262"/>
      <c r="LHJ78" s="262"/>
      <c r="LHK78" s="262"/>
      <c r="LHL78" s="262"/>
      <c r="LHM78" s="262"/>
      <c r="LHN78" s="262"/>
      <c r="LHO78" s="262"/>
      <c r="LHP78" s="262"/>
      <c r="LHQ78" s="262"/>
      <c r="LHR78" s="262"/>
      <c r="LHS78" s="262"/>
      <c r="LHT78" s="262"/>
      <c r="LHU78" s="262"/>
      <c r="LHV78" s="262"/>
      <c r="LHW78" s="262"/>
      <c r="LHX78" s="262"/>
      <c r="LHY78" s="262"/>
      <c r="LHZ78" s="262"/>
      <c r="LIA78" s="262"/>
      <c r="LIB78" s="262"/>
      <c r="LIC78" s="262"/>
      <c r="LID78" s="262"/>
      <c r="LIE78" s="262"/>
      <c r="LIF78" s="262"/>
      <c r="LIG78" s="262"/>
      <c r="LIH78" s="262"/>
      <c r="LII78" s="262"/>
      <c r="LIJ78" s="262"/>
      <c r="LIK78" s="262"/>
      <c r="LIL78" s="262"/>
      <c r="LIM78" s="262"/>
      <c r="LIN78" s="262"/>
      <c r="LIO78" s="262"/>
      <c r="LIP78" s="262"/>
      <c r="LIQ78" s="262"/>
      <c r="LIR78" s="262"/>
      <c r="LIS78" s="262"/>
      <c r="LIT78" s="262"/>
      <c r="LIU78" s="262"/>
      <c r="LIV78" s="262"/>
      <c r="LIW78" s="262"/>
      <c r="LIX78" s="262"/>
      <c r="LIY78" s="262"/>
      <c r="LIZ78" s="262"/>
      <c r="LJA78" s="262"/>
      <c r="LJB78" s="262"/>
      <c r="LJC78" s="262"/>
      <c r="LJD78" s="262"/>
      <c r="LJE78" s="262"/>
      <c r="LJF78" s="262"/>
      <c r="LJG78" s="262"/>
      <c r="LJH78" s="262"/>
      <c r="LJI78" s="262"/>
      <c r="LJJ78" s="262"/>
      <c r="LJK78" s="262"/>
      <c r="LJL78" s="262"/>
      <c r="LJM78" s="262"/>
      <c r="LJN78" s="262"/>
      <c r="LJO78" s="262"/>
      <c r="LJP78" s="262"/>
      <c r="LJQ78" s="262"/>
      <c r="LJR78" s="262"/>
      <c r="LJS78" s="262"/>
      <c r="LJT78" s="262"/>
      <c r="LJU78" s="262"/>
      <c r="LJV78" s="262"/>
      <c r="LJW78" s="262"/>
      <c r="LJX78" s="262"/>
      <c r="LJY78" s="262"/>
      <c r="LJZ78" s="262"/>
      <c r="LKA78" s="262"/>
      <c r="LKB78" s="262"/>
      <c r="LKC78" s="262"/>
      <c r="LKD78" s="262"/>
      <c r="LKE78" s="262"/>
      <c r="LKF78" s="262"/>
      <c r="LKG78" s="262"/>
      <c r="LKH78" s="262"/>
      <c r="LKI78" s="262"/>
      <c r="LKJ78" s="262"/>
      <c r="LKK78" s="262"/>
      <c r="LKL78" s="262"/>
      <c r="LKM78" s="262"/>
      <c r="LKN78" s="262"/>
      <c r="LKO78" s="262"/>
      <c r="LKP78" s="262"/>
      <c r="LKQ78" s="262"/>
      <c r="LKR78" s="262"/>
      <c r="LKS78" s="262"/>
      <c r="LKT78" s="262"/>
      <c r="LKU78" s="262"/>
      <c r="LKV78" s="262"/>
      <c r="LKW78" s="262"/>
      <c r="LKX78" s="262"/>
      <c r="LKY78" s="262"/>
      <c r="LKZ78" s="262"/>
      <c r="LLA78" s="262"/>
      <c r="LLB78" s="262"/>
      <c r="LLC78" s="262"/>
      <c r="LLD78" s="262"/>
      <c r="LLE78" s="262"/>
      <c r="LLF78" s="262"/>
      <c r="LLG78" s="262"/>
      <c r="LLH78" s="262"/>
      <c r="LLI78" s="262"/>
      <c r="LLJ78" s="262"/>
      <c r="LLK78" s="262"/>
      <c r="LLL78" s="262"/>
      <c r="LLM78" s="262"/>
      <c r="LLN78" s="262"/>
      <c r="LLO78" s="262"/>
      <c r="LLP78" s="262"/>
      <c r="LLQ78" s="262"/>
      <c r="LLR78" s="262"/>
      <c r="LLS78" s="262"/>
      <c r="LLT78" s="262"/>
      <c r="LLU78" s="262"/>
      <c r="LLV78" s="262"/>
      <c r="LLW78" s="262"/>
      <c r="LLX78" s="262"/>
      <c r="LLY78" s="262"/>
      <c r="LLZ78" s="262"/>
      <c r="LMA78" s="262"/>
      <c r="LMB78" s="262"/>
      <c r="LMC78" s="262"/>
      <c r="LMD78" s="262"/>
      <c r="LME78" s="262"/>
      <c r="LMF78" s="262"/>
      <c r="LMG78" s="262"/>
      <c r="LMH78" s="262"/>
      <c r="LMI78" s="262"/>
      <c r="LMJ78" s="262"/>
      <c r="LMK78" s="262"/>
      <c r="LML78" s="262"/>
      <c r="LMM78" s="262"/>
      <c r="LMN78" s="262"/>
      <c r="LMO78" s="262"/>
      <c r="LMP78" s="262"/>
      <c r="LMQ78" s="262"/>
      <c r="LMR78" s="262"/>
      <c r="LMS78" s="262"/>
      <c r="LMT78" s="262"/>
      <c r="LMU78" s="262"/>
      <c r="LMV78" s="262"/>
      <c r="LMW78" s="262"/>
      <c r="LMX78" s="262"/>
      <c r="LMY78" s="262"/>
      <c r="LMZ78" s="262"/>
      <c r="LNA78" s="262"/>
      <c r="LNB78" s="262"/>
      <c r="LNC78" s="262"/>
      <c r="LND78" s="262"/>
      <c r="LNE78" s="262"/>
      <c r="LNF78" s="262"/>
      <c r="LNG78" s="262"/>
      <c r="LNH78" s="262"/>
      <c r="LNI78" s="262"/>
      <c r="LNJ78" s="262"/>
      <c r="LNK78" s="262"/>
      <c r="LNL78" s="262"/>
      <c r="LNM78" s="262"/>
      <c r="LNN78" s="262"/>
      <c r="LNO78" s="262"/>
      <c r="LNP78" s="262"/>
      <c r="LNQ78" s="262"/>
      <c r="LNR78" s="262"/>
      <c r="LNS78" s="262"/>
      <c r="LNT78" s="262"/>
      <c r="LNU78" s="262"/>
      <c r="LNV78" s="262"/>
      <c r="LNW78" s="262"/>
      <c r="LNX78" s="262"/>
      <c r="LNY78" s="262"/>
      <c r="LNZ78" s="262"/>
      <c r="LOA78" s="262"/>
      <c r="LOB78" s="262"/>
      <c r="LOC78" s="262"/>
      <c r="LOD78" s="262"/>
      <c r="LOE78" s="262"/>
      <c r="LOF78" s="262"/>
      <c r="LOG78" s="262"/>
      <c r="LOH78" s="262"/>
      <c r="LOI78" s="262"/>
      <c r="LOJ78" s="262"/>
      <c r="LOK78" s="262"/>
      <c r="LOL78" s="262"/>
      <c r="LOM78" s="262"/>
      <c r="LON78" s="262"/>
      <c r="LOO78" s="262"/>
      <c r="LOP78" s="262"/>
      <c r="LOQ78" s="262"/>
      <c r="LOR78" s="262"/>
      <c r="LOS78" s="262"/>
      <c r="LOT78" s="262"/>
      <c r="LOU78" s="262"/>
      <c r="LOV78" s="262"/>
      <c r="LOW78" s="262"/>
      <c r="LOX78" s="262"/>
      <c r="LOY78" s="262"/>
      <c r="LOZ78" s="262"/>
      <c r="LPA78" s="262"/>
      <c r="LPB78" s="262"/>
      <c r="LPC78" s="262"/>
      <c r="LPD78" s="262"/>
      <c r="LPE78" s="262"/>
      <c r="LPF78" s="262"/>
      <c r="LPG78" s="262"/>
      <c r="LPH78" s="262"/>
      <c r="LPI78" s="262"/>
      <c r="LPJ78" s="262"/>
      <c r="LPK78" s="262"/>
      <c r="LPL78" s="262"/>
      <c r="LPM78" s="262"/>
      <c r="LPN78" s="262"/>
      <c r="LPO78" s="262"/>
      <c r="LPP78" s="262"/>
      <c r="LPQ78" s="262"/>
      <c r="LPR78" s="262"/>
      <c r="LPS78" s="262"/>
      <c r="LPT78" s="262"/>
      <c r="LPU78" s="262"/>
      <c r="LPV78" s="262"/>
      <c r="LPW78" s="262"/>
      <c r="LPX78" s="262"/>
      <c r="LPY78" s="262"/>
      <c r="LPZ78" s="262"/>
      <c r="LQA78" s="262"/>
      <c r="LQB78" s="262"/>
      <c r="LQC78" s="262"/>
      <c r="LQD78" s="262"/>
      <c r="LQE78" s="262"/>
      <c r="LQF78" s="262"/>
      <c r="LQG78" s="262"/>
      <c r="LQH78" s="262"/>
      <c r="LQI78" s="262"/>
      <c r="LQJ78" s="262"/>
      <c r="LQK78" s="262"/>
      <c r="LQL78" s="262"/>
      <c r="LQM78" s="262"/>
      <c r="LQN78" s="262"/>
      <c r="LQO78" s="262"/>
      <c r="LQP78" s="262"/>
      <c r="LQQ78" s="262"/>
      <c r="LQR78" s="262"/>
      <c r="LQS78" s="262"/>
      <c r="LQT78" s="262"/>
      <c r="LQU78" s="262"/>
      <c r="LQV78" s="262"/>
      <c r="LQW78" s="262"/>
      <c r="LQX78" s="262"/>
      <c r="LQY78" s="262"/>
      <c r="LQZ78" s="262"/>
      <c r="LRA78" s="262"/>
      <c r="LRB78" s="262"/>
      <c r="LRC78" s="262"/>
      <c r="LRD78" s="262"/>
      <c r="LRE78" s="262"/>
      <c r="LRF78" s="262"/>
      <c r="LRG78" s="262"/>
      <c r="LRH78" s="262"/>
      <c r="LRI78" s="262"/>
      <c r="LRJ78" s="262"/>
      <c r="LRK78" s="262"/>
      <c r="LRL78" s="262"/>
      <c r="LRM78" s="262"/>
      <c r="LRN78" s="262"/>
      <c r="LRO78" s="262"/>
      <c r="LRP78" s="262"/>
      <c r="LRQ78" s="262"/>
      <c r="LRR78" s="262"/>
      <c r="LRS78" s="262"/>
      <c r="LRT78" s="262"/>
      <c r="LRU78" s="262"/>
      <c r="LRV78" s="262"/>
      <c r="LRW78" s="262"/>
      <c r="LRX78" s="262"/>
      <c r="LRY78" s="262"/>
      <c r="LRZ78" s="262"/>
      <c r="LSA78" s="262"/>
      <c r="LSB78" s="262"/>
      <c r="LSC78" s="262"/>
      <c r="LSD78" s="262"/>
      <c r="LSE78" s="262"/>
      <c r="LSF78" s="262"/>
      <c r="LSG78" s="262"/>
      <c r="LSH78" s="262"/>
      <c r="LSI78" s="262"/>
      <c r="LSJ78" s="262"/>
      <c r="LSK78" s="262"/>
      <c r="LSL78" s="262"/>
      <c r="LSM78" s="262"/>
      <c r="LSN78" s="262"/>
      <c r="LSO78" s="262"/>
      <c r="LSP78" s="262"/>
      <c r="LSQ78" s="262"/>
      <c r="LSR78" s="262"/>
      <c r="LSS78" s="262"/>
      <c r="LST78" s="262"/>
      <c r="LSU78" s="262"/>
      <c r="LSV78" s="262"/>
      <c r="LSW78" s="262"/>
      <c r="LSX78" s="262"/>
      <c r="LSY78" s="262"/>
      <c r="LSZ78" s="262"/>
      <c r="LTA78" s="262"/>
      <c r="LTB78" s="262"/>
      <c r="LTC78" s="262"/>
      <c r="LTD78" s="262"/>
      <c r="LTE78" s="262"/>
      <c r="LTF78" s="262"/>
      <c r="LTG78" s="262"/>
      <c r="LTH78" s="262"/>
      <c r="LTI78" s="262"/>
      <c r="LTJ78" s="262"/>
      <c r="LTK78" s="262"/>
      <c r="LTL78" s="262"/>
      <c r="LTM78" s="262"/>
      <c r="LTN78" s="262"/>
      <c r="LTO78" s="262"/>
      <c r="LTP78" s="262"/>
      <c r="LTQ78" s="262"/>
      <c r="LTR78" s="262"/>
      <c r="LTS78" s="262"/>
      <c r="LTT78" s="262"/>
      <c r="LTU78" s="262"/>
      <c r="LTV78" s="262"/>
      <c r="LTW78" s="262"/>
      <c r="LTX78" s="262"/>
      <c r="LTY78" s="262"/>
      <c r="LTZ78" s="262"/>
      <c r="LUA78" s="262"/>
      <c r="LUB78" s="262"/>
      <c r="LUC78" s="262"/>
      <c r="LUD78" s="262"/>
      <c r="LUE78" s="262"/>
      <c r="LUF78" s="262"/>
      <c r="LUG78" s="262"/>
      <c r="LUH78" s="262"/>
      <c r="LUI78" s="262"/>
      <c r="LUJ78" s="262"/>
      <c r="LUK78" s="262"/>
      <c r="LUL78" s="262"/>
      <c r="LUM78" s="262"/>
      <c r="LUN78" s="262"/>
      <c r="LUO78" s="262"/>
      <c r="LUP78" s="262"/>
      <c r="LUQ78" s="262"/>
      <c r="LUR78" s="262"/>
      <c r="LUS78" s="262"/>
      <c r="LUT78" s="262"/>
      <c r="LUU78" s="262"/>
      <c r="LUV78" s="262"/>
      <c r="LUW78" s="262"/>
      <c r="LUX78" s="262"/>
      <c r="LUY78" s="262"/>
      <c r="LUZ78" s="262"/>
      <c r="LVA78" s="262"/>
      <c r="LVB78" s="262"/>
      <c r="LVC78" s="262"/>
      <c r="LVD78" s="262"/>
      <c r="LVE78" s="262"/>
      <c r="LVF78" s="262"/>
      <c r="LVG78" s="262"/>
      <c r="LVH78" s="262"/>
      <c r="LVI78" s="262"/>
      <c r="LVJ78" s="262"/>
      <c r="LVK78" s="262"/>
      <c r="LVL78" s="262"/>
      <c r="LVM78" s="262"/>
      <c r="LVN78" s="262"/>
      <c r="LVO78" s="262"/>
      <c r="LVP78" s="262"/>
      <c r="LVQ78" s="262"/>
      <c r="LVR78" s="262"/>
      <c r="LVS78" s="262"/>
      <c r="LVT78" s="262"/>
      <c r="LVU78" s="262"/>
      <c r="LVV78" s="262"/>
      <c r="LVW78" s="262"/>
      <c r="LVX78" s="262"/>
      <c r="LVY78" s="262"/>
      <c r="LVZ78" s="262"/>
      <c r="LWA78" s="262"/>
      <c r="LWB78" s="262"/>
      <c r="LWC78" s="262"/>
      <c r="LWD78" s="262"/>
      <c r="LWE78" s="262"/>
      <c r="LWF78" s="262"/>
      <c r="LWG78" s="262"/>
      <c r="LWH78" s="262"/>
      <c r="LWI78" s="262"/>
      <c r="LWJ78" s="262"/>
      <c r="LWK78" s="262"/>
      <c r="LWL78" s="262"/>
      <c r="LWM78" s="262"/>
      <c r="LWN78" s="262"/>
      <c r="LWO78" s="262"/>
      <c r="LWP78" s="262"/>
      <c r="LWQ78" s="262"/>
      <c r="LWR78" s="262"/>
      <c r="LWS78" s="262"/>
      <c r="LWT78" s="262"/>
      <c r="LWU78" s="262"/>
      <c r="LWV78" s="262"/>
      <c r="LWW78" s="262"/>
      <c r="LWX78" s="262"/>
      <c r="LWY78" s="262"/>
      <c r="LWZ78" s="262"/>
      <c r="LXA78" s="262"/>
      <c r="LXB78" s="262"/>
      <c r="LXC78" s="262"/>
      <c r="LXD78" s="262"/>
      <c r="LXE78" s="262"/>
      <c r="LXF78" s="262"/>
      <c r="LXG78" s="262"/>
      <c r="LXH78" s="262"/>
      <c r="LXI78" s="262"/>
      <c r="LXJ78" s="262"/>
      <c r="LXK78" s="262"/>
      <c r="LXL78" s="262"/>
      <c r="LXM78" s="262"/>
      <c r="LXN78" s="262"/>
      <c r="LXO78" s="262"/>
      <c r="LXP78" s="262"/>
      <c r="LXQ78" s="262"/>
      <c r="LXR78" s="262"/>
      <c r="LXS78" s="262"/>
      <c r="LXT78" s="262"/>
      <c r="LXU78" s="262"/>
      <c r="LXV78" s="262"/>
      <c r="LXW78" s="262"/>
      <c r="LXX78" s="262"/>
      <c r="LXY78" s="262"/>
      <c r="LXZ78" s="262"/>
      <c r="LYA78" s="262"/>
      <c r="LYB78" s="262"/>
      <c r="LYC78" s="262"/>
      <c r="LYD78" s="262"/>
      <c r="LYE78" s="262"/>
      <c r="LYF78" s="262"/>
      <c r="LYG78" s="262"/>
      <c r="LYH78" s="262"/>
      <c r="LYI78" s="262"/>
      <c r="LYJ78" s="262"/>
      <c r="LYK78" s="262"/>
      <c r="LYL78" s="262"/>
      <c r="LYM78" s="262"/>
      <c r="LYN78" s="262"/>
      <c r="LYO78" s="262"/>
      <c r="LYP78" s="262"/>
      <c r="LYQ78" s="262"/>
      <c r="LYR78" s="262"/>
      <c r="LYS78" s="262"/>
      <c r="LYT78" s="262"/>
      <c r="LYU78" s="262"/>
      <c r="LYV78" s="262"/>
      <c r="LYW78" s="262"/>
      <c r="LYX78" s="262"/>
      <c r="LYY78" s="262"/>
      <c r="LYZ78" s="262"/>
      <c r="LZA78" s="262"/>
      <c r="LZB78" s="262"/>
      <c r="LZC78" s="262"/>
      <c r="LZD78" s="262"/>
      <c r="LZE78" s="262"/>
      <c r="LZF78" s="262"/>
      <c r="LZG78" s="262"/>
      <c r="LZH78" s="262"/>
      <c r="LZI78" s="262"/>
      <c r="LZJ78" s="262"/>
      <c r="LZK78" s="262"/>
      <c r="LZL78" s="262"/>
      <c r="LZM78" s="262"/>
      <c r="LZN78" s="262"/>
      <c r="LZO78" s="262"/>
      <c r="LZP78" s="262"/>
      <c r="LZQ78" s="262"/>
      <c r="LZR78" s="262"/>
      <c r="LZS78" s="262"/>
      <c r="LZT78" s="262"/>
      <c r="LZU78" s="262"/>
      <c r="LZV78" s="262"/>
      <c r="LZW78" s="262"/>
      <c r="LZX78" s="262"/>
      <c r="LZY78" s="262"/>
      <c r="LZZ78" s="262"/>
      <c r="MAA78" s="262"/>
      <c r="MAB78" s="262"/>
      <c r="MAC78" s="262"/>
      <c r="MAD78" s="262"/>
      <c r="MAE78" s="262"/>
      <c r="MAF78" s="262"/>
      <c r="MAG78" s="262"/>
      <c r="MAH78" s="262"/>
      <c r="MAI78" s="262"/>
      <c r="MAJ78" s="262"/>
      <c r="MAK78" s="262"/>
      <c r="MAL78" s="262"/>
      <c r="MAM78" s="262"/>
      <c r="MAN78" s="262"/>
      <c r="MAO78" s="262"/>
      <c r="MAP78" s="262"/>
      <c r="MAQ78" s="262"/>
      <c r="MAR78" s="262"/>
      <c r="MAS78" s="262"/>
      <c r="MAT78" s="262"/>
      <c r="MAU78" s="262"/>
      <c r="MAV78" s="262"/>
      <c r="MAW78" s="262"/>
      <c r="MAX78" s="262"/>
      <c r="MAY78" s="262"/>
      <c r="MAZ78" s="262"/>
      <c r="MBA78" s="262"/>
      <c r="MBB78" s="262"/>
      <c r="MBC78" s="262"/>
      <c r="MBD78" s="262"/>
      <c r="MBE78" s="262"/>
      <c r="MBF78" s="262"/>
      <c r="MBG78" s="262"/>
      <c r="MBH78" s="262"/>
      <c r="MBI78" s="262"/>
      <c r="MBJ78" s="262"/>
      <c r="MBK78" s="262"/>
      <c r="MBL78" s="262"/>
      <c r="MBM78" s="262"/>
      <c r="MBN78" s="262"/>
      <c r="MBO78" s="262"/>
      <c r="MBP78" s="262"/>
      <c r="MBQ78" s="262"/>
      <c r="MBR78" s="262"/>
      <c r="MBS78" s="262"/>
      <c r="MBT78" s="262"/>
      <c r="MBU78" s="262"/>
      <c r="MBV78" s="262"/>
      <c r="MBW78" s="262"/>
      <c r="MBX78" s="262"/>
      <c r="MBY78" s="262"/>
      <c r="MBZ78" s="262"/>
      <c r="MCA78" s="262"/>
      <c r="MCB78" s="262"/>
      <c r="MCC78" s="262"/>
      <c r="MCD78" s="262"/>
      <c r="MCE78" s="262"/>
      <c r="MCF78" s="262"/>
      <c r="MCG78" s="262"/>
      <c r="MCH78" s="262"/>
      <c r="MCI78" s="262"/>
      <c r="MCJ78" s="262"/>
      <c r="MCK78" s="262"/>
      <c r="MCL78" s="262"/>
      <c r="MCM78" s="262"/>
      <c r="MCN78" s="262"/>
      <c r="MCO78" s="262"/>
      <c r="MCP78" s="262"/>
      <c r="MCQ78" s="262"/>
      <c r="MCR78" s="262"/>
      <c r="MCS78" s="262"/>
      <c r="MCT78" s="262"/>
      <c r="MCU78" s="262"/>
      <c r="MCV78" s="262"/>
      <c r="MCW78" s="262"/>
      <c r="MCX78" s="262"/>
      <c r="MCY78" s="262"/>
      <c r="MCZ78" s="262"/>
      <c r="MDA78" s="262"/>
      <c r="MDB78" s="262"/>
      <c r="MDC78" s="262"/>
      <c r="MDD78" s="262"/>
      <c r="MDE78" s="262"/>
      <c r="MDF78" s="262"/>
      <c r="MDG78" s="262"/>
      <c r="MDH78" s="262"/>
      <c r="MDI78" s="262"/>
      <c r="MDJ78" s="262"/>
      <c r="MDK78" s="262"/>
      <c r="MDL78" s="262"/>
      <c r="MDM78" s="262"/>
      <c r="MDN78" s="262"/>
      <c r="MDO78" s="262"/>
      <c r="MDP78" s="262"/>
      <c r="MDQ78" s="262"/>
      <c r="MDR78" s="262"/>
      <c r="MDS78" s="262"/>
      <c r="MDT78" s="262"/>
      <c r="MDU78" s="262"/>
      <c r="MDV78" s="262"/>
      <c r="MDW78" s="262"/>
      <c r="MDX78" s="262"/>
      <c r="MDY78" s="262"/>
      <c r="MDZ78" s="262"/>
      <c r="MEA78" s="262"/>
      <c r="MEB78" s="262"/>
      <c r="MEC78" s="262"/>
      <c r="MED78" s="262"/>
      <c r="MEE78" s="262"/>
      <c r="MEF78" s="262"/>
      <c r="MEG78" s="262"/>
      <c r="MEH78" s="262"/>
      <c r="MEI78" s="262"/>
      <c r="MEJ78" s="262"/>
      <c r="MEK78" s="262"/>
      <c r="MEL78" s="262"/>
      <c r="MEM78" s="262"/>
      <c r="MEN78" s="262"/>
      <c r="MEO78" s="262"/>
      <c r="MEP78" s="262"/>
      <c r="MEQ78" s="262"/>
      <c r="MER78" s="262"/>
      <c r="MES78" s="262"/>
      <c r="MET78" s="262"/>
      <c r="MEU78" s="262"/>
      <c r="MEV78" s="262"/>
      <c r="MEW78" s="262"/>
      <c r="MEX78" s="262"/>
      <c r="MEY78" s="262"/>
      <c r="MEZ78" s="262"/>
      <c r="MFA78" s="262"/>
      <c r="MFB78" s="262"/>
      <c r="MFC78" s="262"/>
      <c r="MFD78" s="262"/>
      <c r="MFE78" s="262"/>
      <c r="MFF78" s="262"/>
      <c r="MFG78" s="262"/>
      <c r="MFH78" s="262"/>
      <c r="MFI78" s="262"/>
      <c r="MFJ78" s="262"/>
      <c r="MFK78" s="262"/>
      <c r="MFL78" s="262"/>
      <c r="MFM78" s="262"/>
      <c r="MFN78" s="262"/>
      <c r="MFO78" s="262"/>
      <c r="MFP78" s="262"/>
      <c r="MFQ78" s="262"/>
      <c r="MFR78" s="262"/>
      <c r="MFS78" s="262"/>
      <c r="MFT78" s="262"/>
      <c r="MFU78" s="262"/>
      <c r="MFV78" s="262"/>
      <c r="MFW78" s="262"/>
      <c r="MFX78" s="262"/>
      <c r="MFY78" s="262"/>
      <c r="MFZ78" s="262"/>
      <c r="MGA78" s="262"/>
      <c r="MGB78" s="262"/>
      <c r="MGC78" s="262"/>
      <c r="MGD78" s="262"/>
      <c r="MGE78" s="262"/>
      <c r="MGF78" s="262"/>
      <c r="MGG78" s="262"/>
      <c r="MGH78" s="262"/>
      <c r="MGI78" s="262"/>
      <c r="MGJ78" s="262"/>
      <c r="MGK78" s="262"/>
      <c r="MGL78" s="262"/>
      <c r="MGM78" s="262"/>
      <c r="MGN78" s="262"/>
      <c r="MGO78" s="262"/>
      <c r="MGP78" s="262"/>
      <c r="MGQ78" s="262"/>
      <c r="MGR78" s="262"/>
      <c r="MGS78" s="262"/>
      <c r="MGT78" s="262"/>
      <c r="MGU78" s="262"/>
      <c r="MGV78" s="262"/>
      <c r="MGW78" s="262"/>
      <c r="MGX78" s="262"/>
      <c r="MGY78" s="262"/>
      <c r="MGZ78" s="262"/>
      <c r="MHA78" s="262"/>
      <c r="MHB78" s="262"/>
      <c r="MHC78" s="262"/>
      <c r="MHD78" s="262"/>
      <c r="MHE78" s="262"/>
      <c r="MHF78" s="262"/>
      <c r="MHG78" s="262"/>
      <c r="MHH78" s="262"/>
      <c r="MHI78" s="262"/>
      <c r="MHJ78" s="262"/>
      <c r="MHK78" s="262"/>
      <c r="MHL78" s="262"/>
      <c r="MHM78" s="262"/>
      <c r="MHN78" s="262"/>
      <c r="MHO78" s="262"/>
      <c r="MHP78" s="262"/>
      <c r="MHQ78" s="262"/>
      <c r="MHR78" s="262"/>
      <c r="MHS78" s="262"/>
      <c r="MHT78" s="262"/>
      <c r="MHU78" s="262"/>
      <c r="MHV78" s="262"/>
      <c r="MHW78" s="262"/>
      <c r="MHX78" s="262"/>
      <c r="MHY78" s="262"/>
      <c r="MHZ78" s="262"/>
      <c r="MIA78" s="262"/>
      <c r="MIB78" s="262"/>
      <c r="MIC78" s="262"/>
      <c r="MID78" s="262"/>
      <c r="MIE78" s="262"/>
      <c r="MIF78" s="262"/>
      <c r="MIG78" s="262"/>
      <c r="MIH78" s="262"/>
      <c r="MII78" s="262"/>
      <c r="MIJ78" s="262"/>
      <c r="MIK78" s="262"/>
      <c r="MIL78" s="262"/>
      <c r="MIM78" s="262"/>
      <c r="MIN78" s="262"/>
      <c r="MIO78" s="262"/>
      <c r="MIP78" s="262"/>
      <c r="MIQ78" s="262"/>
      <c r="MIR78" s="262"/>
      <c r="MIS78" s="262"/>
      <c r="MIT78" s="262"/>
      <c r="MIU78" s="262"/>
      <c r="MIV78" s="262"/>
      <c r="MIW78" s="262"/>
      <c r="MIX78" s="262"/>
      <c r="MIY78" s="262"/>
      <c r="MIZ78" s="262"/>
      <c r="MJA78" s="262"/>
      <c r="MJB78" s="262"/>
      <c r="MJC78" s="262"/>
      <c r="MJD78" s="262"/>
      <c r="MJE78" s="262"/>
      <c r="MJF78" s="262"/>
      <c r="MJG78" s="262"/>
      <c r="MJH78" s="262"/>
      <c r="MJI78" s="262"/>
      <c r="MJJ78" s="262"/>
      <c r="MJK78" s="262"/>
      <c r="MJL78" s="262"/>
      <c r="MJM78" s="262"/>
      <c r="MJN78" s="262"/>
      <c r="MJO78" s="262"/>
      <c r="MJP78" s="262"/>
      <c r="MJQ78" s="262"/>
      <c r="MJR78" s="262"/>
      <c r="MJS78" s="262"/>
      <c r="MJT78" s="262"/>
      <c r="MJU78" s="262"/>
      <c r="MJV78" s="262"/>
      <c r="MJW78" s="262"/>
      <c r="MJX78" s="262"/>
      <c r="MJY78" s="262"/>
      <c r="MJZ78" s="262"/>
      <c r="MKA78" s="262"/>
      <c r="MKB78" s="262"/>
      <c r="MKC78" s="262"/>
      <c r="MKD78" s="262"/>
      <c r="MKE78" s="262"/>
      <c r="MKF78" s="262"/>
      <c r="MKG78" s="262"/>
      <c r="MKH78" s="262"/>
      <c r="MKI78" s="262"/>
      <c r="MKJ78" s="262"/>
      <c r="MKK78" s="262"/>
      <c r="MKL78" s="262"/>
      <c r="MKM78" s="262"/>
      <c r="MKN78" s="262"/>
      <c r="MKO78" s="262"/>
      <c r="MKP78" s="262"/>
      <c r="MKQ78" s="262"/>
      <c r="MKR78" s="262"/>
      <c r="MKS78" s="262"/>
      <c r="MKT78" s="262"/>
      <c r="MKU78" s="262"/>
      <c r="MKV78" s="262"/>
      <c r="MKW78" s="262"/>
      <c r="MKX78" s="262"/>
      <c r="MKY78" s="262"/>
      <c r="MKZ78" s="262"/>
      <c r="MLA78" s="262"/>
      <c r="MLB78" s="262"/>
      <c r="MLC78" s="262"/>
      <c r="MLD78" s="262"/>
      <c r="MLE78" s="262"/>
      <c r="MLF78" s="262"/>
      <c r="MLG78" s="262"/>
      <c r="MLH78" s="262"/>
      <c r="MLI78" s="262"/>
      <c r="MLJ78" s="262"/>
      <c r="MLK78" s="262"/>
      <c r="MLL78" s="262"/>
      <c r="MLM78" s="262"/>
      <c r="MLN78" s="262"/>
      <c r="MLO78" s="262"/>
      <c r="MLP78" s="262"/>
      <c r="MLQ78" s="262"/>
      <c r="MLR78" s="262"/>
      <c r="MLS78" s="262"/>
      <c r="MLT78" s="262"/>
      <c r="MLU78" s="262"/>
      <c r="MLV78" s="262"/>
      <c r="MLW78" s="262"/>
      <c r="MLX78" s="262"/>
      <c r="MLY78" s="262"/>
      <c r="MLZ78" s="262"/>
      <c r="MMA78" s="262"/>
      <c r="MMB78" s="262"/>
      <c r="MMC78" s="262"/>
      <c r="MMD78" s="262"/>
      <c r="MME78" s="262"/>
      <c r="MMF78" s="262"/>
      <c r="MMG78" s="262"/>
      <c r="MMH78" s="262"/>
      <c r="MMI78" s="262"/>
      <c r="MMJ78" s="262"/>
      <c r="MMK78" s="262"/>
      <c r="MML78" s="262"/>
      <c r="MMM78" s="262"/>
      <c r="MMN78" s="262"/>
      <c r="MMO78" s="262"/>
      <c r="MMP78" s="262"/>
      <c r="MMQ78" s="262"/>
      <c r="MMR78" s="262"/>
      <c r="MMS78" s="262"/>
      <c r="MMT78" s="262"/>
      <c r="MMU78" s="262"/>
      <c r="MMV78" s="262"/>
      <c r="MMW78" s="262"/>
      <c r="MMX78" s="262"/>
      <c r="MMY78" s="262"/>
      <c r="MMZ78" s="262"/>
      <c r="MNA78" s="262"/>
      <c r="MNB78" s="262"/>
      <c r="MNC78" s="262"/>
      <c r="MND78" s="262"/>
      <c r="MNE78" s="262"/>
      <c r="MNF78" s="262"/>
      <c r="MNG78" s="262"/>
      <c r="MNH78" s="262"/>
      <c r="MNI78" s="262"/>
      <c r="MNJ78" s="262"/>
      <c r="MNK78" s="262"/>
      <c r="MNL78" s="262"/>
      <c r="MNM78" s="262"/>
      <c r="MNN78" s="262"/>
      <c r="MNO78" s="262"/>
      <c r="MNP78" s="262"/>
      <c r="MNQ78" s="262"/>
      <c r="MNR78" s="262"/>
      <c r="MNS78" s="262"/>
      <c r="MNT78" s="262"/>
      <c r="MNU78" s="262"/>
      <c r="MNV78" s="262"/>
      <c r="MNW78" s="262"/>
      <c r="MNX78" s="262"/>
      <c r="MNY78" s="262"/>
      <c r="MNZ78" s="262"/>
      <c r="MOA78" s="262"/>
      <c r="MOB78" s="262"/>
      <c r="MOC78" s="262"/>
      <c r="MOD78" s="262"/>
      <c r="MOE78" s="262"/>
      <c r="MOF78" s="262"/>
      <c r="MOG78" s="262"/>
      <c r="MOH78" s="262"/>
      <c r="MOI78" s="262"/>
      <c r="MOJ78" s="262"/>
      <c r="MOK78" s="262"/>
      <c r="MOL78" s="262"/>
      <c r="MOM78" s="262"/>
      <c r="MON78" s="262"/>
      <c r="MOO78" s="262"/>
      <c r="MOP78" s="262"/>
      <c r="MOQ78" s="262"/>
      <c r="MOR78" s="262"/>
      <c r="MOS78" s="262"/>
      <c r="MOT78" s="262"/>
      <c r="MOU78" s="262"/>
      <c r="MOV78" s="262"/>
      <c r="MOW78" s="262"/>
      <c r="MOX78" s="262"/>
      <c r="MOY78" s="262"/>
      <c r="MOZ78" s="262"/>
      <c r="MPA78" s="262"/>
      <c r="MPB78" s="262"/>
      <c r="MPC78" s="262"/>
      <c r="MPD78" s="262"/>
      <c r="MPE78" s="262"/>
      <c r="MPF78" s="262"/>
      <c r="MPG78" s="262"/>
      <c r="MPH78" s="262"/>
      <c r="MPI78" s="262"/>
      <c r="MPJ78" s="262"/>
      <c r="MPK78" s="262"/>
      <c r="MPL78" s="262"/>
      <c r="MPM78" s="262"/>
      <c r="MPN78" s="262"/>
      <c r="MPO78" s="262"/>
      <c r="MPP78" s="262"/>
      <c r="MPQ78" s="262"/>
      <c r="MPR78" s="262"/>
      <c r="MPS78" s="262"/>
      <c r="MPT78" s="262"/>
      <c r="MPU78" s="262"/>
      <c r="MPV78" s="262"/>
      <c r="MPW78" s="262"/>
      <c r="MPX78" s="262"/>
      <c r="MPY78" s="262"/>
      <c r="MPZ78" s="262"/>
      <c r="MQA78" s="262"/>
      <c r="MQB78" s="262"/>
      <c r="MQC78" s="262"/>
      <c r="MQD78" s="262"/>
      <c r="MQE78" s="262"/>
      <c r="MQF78" s="262"/>
      <c r="MQG78" s="262"/>
      <c r="MQH78" s="262"/>
      <c r="MQI78" s="262"/>
      <c r="MQJ78" s="262"/>
      <c r="MQK78" s="262"/>
      <c r="MQL78" s="262"/>
      <c r="MQM78" s="262"/>
      <c r="MQN78" s="262"/>
      <c r="MQO78" s="262"/>
      <c r="MQP78" s="262"/>
      <c r="MQQ78" s="262"/>
      <c r="MQR78" s="262"/>
      <c r="MQS78" s="262"/>
      <c r="MQT78" s="262"/>
      <c r="MQU78" s="262"/>
      <c r="MQV78" s="262"/>
      <c r="MQW78" s="262"/>
      <c r="MQX78" s="262"/>
      <c r="MQY78" s="262"/>
      <c r="MQZ78" s="262"/>
      <c r="MRA78" s="262"/>
      <c r="MRB78" s="262"/>
      <c r="MRC78" s="262"/>
      <c r="MRD78" s="262"/>
      <c r="MRE78" s="262"/>
      <c r="MRF78" s="262"/>
      <c r="MRG78" s="262"/>
      <c r="MRH78" s="262"/>
      <c r="MRI78" s="262"/>
      <c r="MRJ78" s="262"/>
      <c r="MRK78" s="262"/>
      <c r="MRL78" s="262"/>
      <c r="MRM78" s="262"/>
      <c r="MRN78" s="262"/>
      <c r="MRO78" s="262"/>
      <c r="MRP78" s="262"/>
      <c r="MRQ78" s="262"/>
      <c r="MRR78" s="262"/>
      <c r="MRS78" s="262"/>
      <c r="MRT78" s="262"/>
      <c r="MRU78" s="262"/>
      <c r="MRV78" s="262"/>
      <c r="MRW78" s="262"/>
      <c r="MRX78" s="262"/>
      <c r="MRY78" s="262"/>
      <c r="MRZ78" s="262"/>
      <c r="MSA78" s="262"/>
      <c r="MSB78" s="262"/>
      <c r="MSC78" s="262"/>
      <c r="MSD78" s="262"/>
      <c r="MSE78" s="262"/>
      <c r="MSF78" s="262"/>
      <c r="MSG78" s="262"/>
      <c r="MSH78" s="262"/>
      <c r="MSI78" s="262"/>
      <c r="MSJ78" s="262"/>
      <c r="MSK78" s="262"/>
      <c r="MSL78" s="262"/>
      <c r="MSM78" s="262"/>
      <c r="MSN78" s="262"/>
      <c r="MSO78" s="262"/>
      <c r="MSP78" s="262"/>
      <c r="MSQ78" s="262"/>
      <c r="MSR78" s="262"/>
      <c r="MSS78" s="262"/>
      <c r="MST78" s="262"/>
      <c r="MSU78" s="262"/>
      <c r="MSV78" s="262"/>
      <c r="MSW78" s="262"/>
      <c r="MSX78" s="262"/>
      <c r="MSY78" s="262"/>
      <c r="MSZ78" s="262"/>
      <c r="MTA78" s="262"/>
      <c r="MTB78" s="262"/>
      <c r="MTC78" s="262"/>
      <c r="MTD78" s="262"/>
      <c r="MTE78" s="262"/>
      <c r="MTF78" s="262"/>
      <c r="MTG78" s="262"/>
      <c r="MTH78" s="262"/>
      <c r="MTI78" s="262"/>
      <c r="MTJ78" s="262"/>
      <c r="MTK78" s="262"/>
      <c r="MTL78" s="262"/>
      <c r="MTM78" s="262"/>
      <c r="MTN78" s="262"/>
      <c r="MTO78" s="262"/>
      <c r="MTP78" s="262"/>
      <c r="MTQ78" s="262"/>
      <c r="MTR78" s="262"/>
      <c r="MTS78" s="262"/>
      <c r="MTT78" s="262"/>
      <c r="MTU78" s="262"/>
      <c r="MTV78" s="262"/>
      <c r="MTW78" s="262"/>
      <c r="MTX78" s="262"/>
      <c r="MTY78" s="262"/>
      <c r="MTZ78" s="262"/>
      <c r="MUA78" s="262"/>
      <c r="MUB78" s="262"/>
      <c r="MUC78" s="262"/>
      <c r="MUD78" s="262"/>
      <c r="MUE78" s="262"/>
      <c r="MUF78" s="262"/>
      <c r="MUG78" s="262"/>
      <c r="MUH78" s="262"/>
      <c r="MUI78" s="262"/>
      <c r="MUJ78" s="262"/>
      <c r="MUK78" s="262"/>
      <c r="MUL78" s="262"/>
      <c r="MUM78" s="262"/>
      <c r="MUN78" s="262"/>
      <c r="MUO78" s="262"/>
      <c r="MUP78" s="262"/>
      <c r="MUQ78" s="262"/>
      <c r="MUR78" s="262"/>
      <c r="MUS78" s="262"/>
      <c r="MUT78" s="262"/>
      <c r="MUU78" s="262"/>
      <c r="MUV78" s="262"/>
      <c r="MUW78" s="262"/>
      <c r="MUX78" s="262"/>
      <c r="MUY78" s="262"/>
      <c r="MUZ78" s="262"/>
      <c r="MVA78" s="262"/>
      <c r="MVB78" s="262"/>
      <c r="MVC78" s="262"/>
      <c r="MVD78" s="262"/>
      <c r="MVE78" s="262"/>
      <c r="MVF78" s="262"/>
      <c r="MVG78" s="262"/>
      <c r="MVH78" s="262"/>
      <c r="MVI78" s="262"/>
      <c r="MVJ78" s="262"/>
      <c r="MVK78" s="262"/>
      <c r="MVL78" s="262"/>
      <c r="MVM78" s="262"/>
      <c r="MVN78" s="262"/>
      <c r="MVO78" s="262"/>
      <c r="MVP78" s="262"/>
      <c r="MVQ78" s="262"/>
      <c r="MVR78" s="262"/>
      <c r="MVS78" s="262"/>
      <c r="MVT78" s="262"/>
      <c r="MVU78" s="262"/>
      <c r="MVV78" s="262"/>
      <c r="MVW78" s="262"/>
      <c r="MVX78" s="262"/>
      <c r="MVY78" s="262"/>
      <c r="MVZ78" s="262"/>
      <c r="MWA78" s="262"/>
      <c r="MWB78" s="262"/>
      <c r="MWC78" s="262"/>
      <c r="MWD78" s="262"/>
      <c r="MWE78" s="262"/>
      <c r="MWF78" s="262"/>
      <c r="MWG78" s="262"/>
      <c r="MWH78" s="262"/>
      <c r="MWI78" s="262"/>
      <c r="MWJ78" s="262"/>
      <c r="MWK78" s="262"/>
      <c r="MWL78" s="262"/>
      <c r="MWM78" s="262"/>
      <c r="MWN78" s="262"/>
      <c r="MWO78" s="262"/>
      <c r="MWP78" s="262"/>
      <c r="MWQ78" s="262"/>
      <c r="MWR78" s="262"/>
      <c r="MWS78" s="262"/>
      <c r="MWT78" s="262"/>
      <c r="MWU78" s="262"/>
      <c r="MWV78" s="262"/>
      <c r="MWW78" s="262"/>
      <c r="MWX78" s="262"/>
      <c r="MWY78" s="262"/>
      <c r="MWZ78" s="262"/>
      <c r="MXA78" s="262"/>
      <c r="MXB78" s="262"/>
      <c r="MXC78" s="262"/>
      <c r="MXD78" s="262"/>
      <c r="MXE78" s="262"/>
      <c r="MXF78" s="262"/>
      <c r="MXG78" s="262"/>
      <c r="MXH78" s="262"/>
      <c r="MXI78" s="262"/>
      <c r="MXJ78" s="262"/>
      <c r="MXK78" s="262"/>
      <c r="MXL78" s="262"/>
      <c r="MXM78" s="262"/>
      <c r="MXN78" s="262"/>
      <c r="MXO78" s="262"/>
      <c r="MXP78" s="262"/>
      <c r="MXQ78" s="262"/>
      <c r="MXR78" s="262"/>
      <c r="MXS78" s="262"/>
      <c r="MXT78" s="262"/>
      <c r="MXU78" s="262"/>
      <c r="MXV78" s="262"/>
      <c r="MXW78" s="262"/>
      <c r="MXX78" s="262"/>
      <c r="MXY78" s="262"/>
      <c r="MXZ78" s="262"/>
      <c r="MYA78" s="262"/>
      <c r="MYB78" s="262"/>
      <c r="MYC78" s="262"/>
      <c r="MYD78" s="262"/>
      <c r="MYE78" s="262"/>
      <c r="MYF78" s="262"/>
      <c r="MYG78" s="262"/>
      <c r="MYH78" s="262"/>
      <c r="MYI78" s="262"/>
      <c r="MYJ78" s="262"/>
      <c r="MYK78" s="262"/>
      <c r="MYL78" s="262"/>
      <c r="MYM78" s="262"/>
      <c r="MYN78" s="262"/>
      <c r="MYO78" s="262"/>
      <c r="MYP78" s="262"/>
      <c r="MYQ78" s="262"/>
      <c r="MYR78" s="262"/>
      <c r="MYS78" s="262"/>
      <c r="MYT78" s="262"/>
      <c r="MYU78" s="262"/>
      <c r="MYV78" s="262"/>
      <c r="MYW78" s="262"/>
      <c r="MYX78" s="262"/>
      <c r="MYY78" s="262"/>
      <c r="MYZ78" s="262"/>
      <c r="MZA78" s="262"/>
      <c r="MZB78" s="262"/>
      <c r="MZC78" s="262"/>
      <c r="MZD78" s="262"/>
      <c r="MZE78" s="262"/>
      <c r="MZF78" s="262"/>
      <c r="MZG78" s="262"/>
      <c r="MZH78" s="262"/>
      <c r="MZI78" s="262"/>
      <c r="MZJ78" s="262"/>
      <c r="MZK78" s="262"/>
      <c r="MZL78" s="262"/>
      <c r="MZM78" s="262"/>
      <c r="MZN78" s="262"/>
      <c r="MZO78" s="262"/>
      <c r="MZP78" s="262"/>
      <c r="MZQ78" s="262"/>
      <c r="MZR78" s="262"/>
      <c r="MZS78" s="262"/>
      <c r="MZT78" s="262"/>
      <c r="MZU78" s="262"/>
      <c r="MZV78" s="262"/>
      <c r="MZW78" s="262"/>
      <c r="MZX78" s="262"/>
      <c r="MZY78" s="262"/>
      <c r="MZZ78" s="262"/>
      <c r="NAA78" s="262"/>
      <c r="NAB78" s="262"/>
      <c r="NAC78" s="262"/>
      <c r="NAD78" s="262"/>
      <c r="NAE78" s="262"/>
      <c r="NAF78" s="262"/>
      <c r="NAG78" s="262"/>
      <c r="NAH78" s="262"/>
      <c r="NAI78" s="262"/>
      <c r="NAJ78" s="262"/>
      <c r="NAK78" s="262"/>
      <c r="NAL78" s="262"/>
      <c r="NAM78" s="262"/>
      <c r="NAN78" s="262"/>
      <c r="NAO78" s="262"/>
      <c r="NAP78" s="262"/>
      <c r="NAQ78" s="262"/>
      <c r="NAR78" s="262"/>
      <c r="NAS78" s="262"/>
      <c r="NAT78" s="262"/>
      <c r="NAU78" s="262"/>
      <c r="NAV78" s="262"/>
      <c r="NAW78" s="262"/>
      <c r="NAX78" s="262"/>
      <c r="NAY78" s="262"/>
      <c r="NAZ78" s="262"/>
      <c r="NBA78" s="262"/>
      <c r="NBB78" s="262"/>
      <c r="NBC78" s="262"/>
      <c r="NBD78" s="262"/>
      <c r="NBE78" s="262"/>
      <c r="NBF78" s="262"/>
      <c r="NBG78" s="262"/>
      <c r="NBH78" s="262"/>
      <c r="NBI78" s="262"/>
      <c r="NBJ78" s="262"/>
      <c r="NBK78" s="262"/>
      <c r="NBL78" s="262"/>
      <c r="NBM78" s="262"/>
      <c r="NBN78" s="262"/>
      <c r="NBO78" s="262"/>
      <c r="NBP78" s="262"/>
      <c r="NBQ78" s="262"/>
      <c r="NBR78" s="262"/>
      <c r="NBS78" s="262"/>
      <c r="NBT78" s="262"/>
      <c r="NBU78" s="262"/>
      <c r="NBV78" s="262"/>
      <c r="NBW78" s="262"/>
      <c r="NBX78" s="262"/>
      <c r="NBY78" s="262"/>
      <c r="NBZ78" s="262"/>
      <c r="NCA78" s="262"/>
      <c r="NCB78" s="262"/>
      <c r="NCC78" s="262"/>
      <c r="NCD78" s="262"/>
      <c r="NCE78" s="262"/>
      <c r="NCF78" s="262"/>
      <c r="NCG78" s="262"/>
      <c r="NCH78" s="262"/>
      <c r="NCI78" s="262"/>
      <c r="NCJ78" s="262"/>
      <c r="NCK78" s="262"/>
      <c r="NCL78" s="262"/>
      <c r="NCM78" s="262"/>
      <c r="NCN78" s="262"/>
      <c r="NCO78" s="262"/>
      <c r="NCP78" s="262"/>
      <c r="NCQ78" s="262"/>
      <c r="NCR78" s="262"/>
      <c r="NCS78" s="262"/>
      <c r="NCT78" s="262"/>
      <c r="NCU78" s="262"/>
      <c r="NCV78" s="262"/>
      <c r="NCW78" s="262"/>
      <c r="NCX78" s="262"/>
      <c r="NCY78" s="262"/>
      <c r="NCZ78" s="262"/>
      <c r="NDA78" s="262"/>
      <c r="NDB78" s="262"/>
      <c r="NDC78" s="262"/>
      <c r="NDD78" s="262"/>
      <c r="NDE78" s="262"/>
      <c r="NDF78" s="262"/>
      <c r="NDG78" s="262"/>
      <c r="NDH78" s="262"/>
      <c r="NDI78" s="262"/>
      <c r="NDJ78" s="262"/>
      <c r="NDK78" s="262"/>
      <c r="NDL78" s="262"/>
      <c r="NDM78" s="262"/>
      <c r="NDN78" s="262"/>
      <c r="NDO78" s="262"/>
      <c r="NDP78" s="262"/>
      <c r="NDQ78" s="262"/>
      <c r="NDR78" s="262"/>
      <c r="NDS78" s="262"/>
      <c r="NDT78" s="262"/>
      <c r="NDU78" s="262"/>
      <c r="NDV78" s="262"/>
      <c r="NDW78" s="262"/>
      <c r="NDX78" s="262"/>
      <c r="NDY78" s="262"/>
      <c r="NDZ78" s="262"/>
      <c r="NEA78" s="262"/>
      <c r="NEB78" s="262"/>
      <c r="NEC78" s="262"/>
      <c r="NED78" s="262"/>
      <c r="NEE78" s="262"/>
      <c r="NEF78" s="262"/>
      <c r="NEG78" s="262"/>
      <c r="NEH78" s="262"/>
      <c r="NEI78" s="262"/>
      <c r="NEJ78" s="262"/>
      <c r="NEK78" s="262"/>
      <c r="NEL78" s="262"/>
      <c r="NEM78" s="262"/>
      <c r="NEN78" s="262"/>
      <c r="NEO78" s="262"/>
      <c r="NEP78" s="262"/>
      <c r="NEQ78" s="262"/>
      <c r="NER78" s="262"/>
      <c r="NES78" s="262"/>
      <c r="NET78" s="262"/>
      <c r="NEU78" s="262"/>
      <c r="NEV78" s="262"/>
      <c r="NEW78" s="262"/>
      <c r="NEX78" s="262"/>
      <c r="NEY78" s="262"/>
      <c r="NEZ78" s="262"/>
      <c r="NFA78" s="262"/>
      <c r="NFB78" s="262"/>
      <c r="NFC78" s="262"/>
      <c r="NFD78" s="262"/>
      <c r="NFE78" s="262"/>
      <c r="NFF78" s="262"/>
      <c r="NFG78" s="262"/>
      <c r="NFH78" s="262"/>
      <c r="NFI78" s="262"/>
      <c r="NFJ78" s="262"/>
      <c r="NFK78" s="262"/>
      <c r="NFL78" s="262"/>
      <c r="NFM78" s="262"/>
      <c r="NFN78" s="262"/>
      <c r="NFO78" s="262"/>
      <c r="NFP78" s="262"/>
      <c r="NFQ78" s="262"/>
      <c r="NFR78" s="262"/>
      <c r="NFS78" s="262"/>
      <c r="NFT78" s="262"/>
      <c r="NFU78" s="262"/>
      <c r="NFV78" s="262"/>
      <c r="NFW78" s="262"/>
      <c r="NFX78" s="262"/>
      <c r="NFY78" s="262"/>
      <c r="NFZ78" s="262"/>
      <c r="NGA78" s="262"/>
      <c r="NGB78" s="262"/>
      <c r="NGC78" s="262"/>
      <c r="NGD78" s="262"/>
      <c r="NGE78" s="262"/>
      <c r="NGF78" s="262"/>
      <c r="NGG78" s="262"/>
      <c r="NGH78" s="262"/>
      <c r="NGI78" s="262"/>
      <c r="NGJ78" s="262"/>
      <c r="NGK78" s="262"/>
      <c r="NGL78" s="262"/>
      <c r="NGM78" s="262"/>
      <c r="NGN78" s="262"/>
      <c r="NGO78" s="262"/>
      <c r="NGP78" s="262"/>
      <c r="NGQ78" s="262"/>
      <c r="NGR78" s="262"/>
      <c r="NGS78" s="262"/>
      <c r="NGT78" s="262"/>
      <c r="NGU78" s="262"/>
      <c r="NGV78" s="262"/>
      <c r="NGW78" s="262"/>
      <c r="NGX78" s="262"/>
      <c r="NGY78" s="262"/>
      <c r="NGZ78" s="262"/>
      <c r="NHA78" s="262"/>
      <c r="NHB78" s="262"/>
      <c r="NHC78" s="262"/>
      <c r="NHD78" s="262"/>
      <c r="NHE78" s="262"/>
      <c r="NHF78" s="262"/>
      <c r="NHG78" s="262"/>
      <c r="NHH78" s="262"/>
      <c r="NHI78" s="262"/>
      <c r="NHJ78" s="262"/>
      <c r="NHK78" s="262"/>
      <c r="NHL78" s="262"/>
      <c r="NHM78" s="262"/>
      <c r="NHN78" s="262"/>
      <c r="NHO78" s="262"/>
      <c r="NHP78" s="262"/>
      <c r="NHQ78" s="262"/>
      <c r="NHR78" s="262"/>
      <c r="NHS78" s="262"/>
      <c r="NHT78" s="262"/>
      <c r="NHU78" s="262"/>
      <c r="NHV78" s="262"/>
      <c r="NHW78" s="262"/>
      <c r="NHX78" s="262"/>
      <c r="NHY78" s="262"/>
      <c r="NHZ78" s="262"/>
      <c r="NIA78" s="262"/>
      <c r="NIB78" s="262"/>
      <c r="NIC78" s="262"/>
      <c r="NID78" s="262"/>
      <c r="NIE78" s="262"/>
      <c r="NIF78" s="262"/>
      <c r="NIG78" s="262"/>
      <c r="NIH78" s="262"/>
      <c r="NII78" s="262"/>
      <c r="NIJ78" s="262"/>
      <c r="NIK78" s="262"/>
      <c r="NIL78" s="262"/>
      <c r="NIM78" s="262"/>
      <c r="NIN78" s="262"/>
      <c r="NIO78" s="262"/>
      <c r="NIP78" s="262"/>
      <c r="NIQ78" s="262"/>
      <c r="NIR78" s="262"/>
      <c r="NIS78" s="262"/>
      <c r="NIT78" s="262"/>
      <c r="NIU78" s="262"/>
      <c r="NIV78" s="262"/>
      <c r="NIW78" s="262"/>
      <c r="NIX78" s="262"/>
      <c r="NIY78" s="262"/>
      <c r="NIZ78" s="262"/>
      <c r="NJA78" s="262"/>
      <c r="NJB78" s="262"/>
      <c r="NJC78" s="262"/>
      <c r="NJD78" s="262"/>
      <c r="NJE78" s="262"/>
      <c r="NJF78" s="262"/>
      <c r="NJG78" s="262"/>
      <c r="NJH78" s="262"/>
      <c r="NJI78" s="262"/>
      <c r="NJJ78" s="262"/>
      <c r="NJK78" s="262"/>
      <c r="NJL78" s="262"/>
      <c r="NJM78" s="262"/>
      <c r="NJN78" s="262"/>
      <c r="NJO78" s="262"/>
      <c r="NJP78" s="262"/>
      <c r="NJQ78" s="262"/>
      <c r="NJR78" s="262"/>
      <c r="NJS78" s="262"/>
      <c r="NJT78" s="262"/>
      <c r="NJU78" s="262"/>
      <c r="NJV78" s="262"/>
      <c r="NJW78" s="262"/>
      <c r="NJX78" s="262"/>
      <c r="NJY78" s="262"/>
      <c r="NJZ78" s="262"/>
      <c r="NKA78" s="262"/>
      <c r="NKB78" s="262"/>
      <c r="NKC78" s="262"/>
      <c r="NKD78" s="262"/>
      <c r="NKE78" s="262"/>
      <c r="NKF78" s="262"/>
      <c r="NKG78" s="262"/>
      <c r="NKH78" s="262"/>
      <c r="NKI78" s="262"/>
      <c r="NKJ78" s="262"/>
      <c r="NKK78" s="262"/>
      <c r="NKL78" s="262"/>
      <c r="NKM78" s="262"/>
      <c r="NKN78" s="262"/>
      <c r="NKO78" s="262"/>
      <c r="NKP78" s="262"/>
      <c r="NKQ78" s="262"/>
      <c r="NKR78" s="262"/>
      <c r="NKS78" s="262"/>
      <c r="NKT78" s="262"/>
      <c r="NKU78" s="262"/>
      <c r="NKV78" s="262"/>
      <c r="NKW78" s="262"/>
      <c r="NKX78" s="262"/>
      <c r="NKY78" s="262"/>
      <c r="NKZ78" s="262"/>
      <c r="NLA78" s="262"/>
      <c r="NLB78" s="262"/>
      <c r="NLC78" s="262"/>
      <c r="NLD78" s="262"/>
      <c r="NLE78" s="262"/>
      <c r="NLF78" s="262"/>
      <c r="NLG78" s="262"/>
      <c r="NLH78" s="262"/>
      <c r="NLI78" s="262"/>
      <c r="NLJ78" s="262"/>
      <c r="NLK78" s="262"/>
      <c r="NLL78" s="262"/>
      <c r="NLM78" s="262"/>
      <c r="NLN78" s="262"/>
      <c r="NLO78" s="262"/>
      <c r="NLP78" s="262"/>
      <c r="NLQ78" s="262"/>
      <c r="NLR78" s="262"/>
      <c r="NLS78" s="262"/>
      <c r="NLT78" s="262"/>
      <c r="NLU78" s="262"/>
      <c r="NLV78" s="262"/>
      <c r="NLW78" s="262"/>
      <c r="NLX78" s="262"/>
      <c r="NLY78" s="262"/>
      <c r="NLZ78" s="262"/>
      <c r="NMA78" s="262"/>
      <c r="NMB78" s="262"/>
      <c r="NMC78" s="262"/>
      <c r="NMD78" s="262"/>
      <c r="NME78" s="262"/>
      <c r="NMF78" s="262"/>
      <c r="NMG78" s="262"/>
      <c r="NMH78" s="262"/>
      <c r="NMI78" s="262"/>
      <c r="NMJ78" s="262"/>
      <c r="NMK78" s="262"/>
      <c r="NML78" s="262"/>
      <c r="NMM78" s="262"/>
      <c r="NMN78" s="262"/>
      <c r="NMO78" s="262"/>
      <c r="NMP78" s="262"/>
      <c r="NMQ78" s="262"/>
      <c r="NMR78" s="262"/>
      <c r="NMS78" s="262"/>
      <c r="NMT78" s="262"/>
      <c r="NMU78" s="262"/>
      <c r="NMV78" s="262"/>
      <c r="NMW78" s="262"/>
      <c r="NMX78" s="262"/>
      <c r="NMY78" s="262"/>
      <c r="NMZ78" s="262"/>
      <c r="NNA78" s="262"/>
      <c r="NNB78" s="262"/>
      <c r="NNC78" s="262"/>
      <c r="NND78" s="262"/>
      <c r="NNE78" s="262"/>
      <c r="NNF78" s="262"/>
      <c r="NNG78" s="262"/>
      <c r="NNH78" s="262"/>
      <c r="NNI78" s="262"/>
      <c r="NNJ78" s="262"/>
      <c r="NNK78" s="262"/>
      <c r="NNL78" s="262"/>
      <c r="NNM78" s="262"/>
      <c r="NNN78" s="262"/>
      <c r="NNO78" s="262"/>
      <c r="NNP78" s="262"/>
      <c r="NNQ78" s="262"/>
      <c r="NNR78" s="262"/>
      <c r="NNS78" s="262"/>
      <c r="NNT78" s="262"/>
      <c r="NNU78" s="262"/>
      <c r="NNV78" s="262"/>
      <c r="NNW78" s="262"/>
      <c r="NNX78" s="262"/>
      <c r="NNY78" s="262"/>
      <c r="NNZ78" s="262"/>
      <c r="NOA78" s="262"/>
      <c r="NOB78" s="262"/>
      <c r="NOC78" s="262"/>
      <c r="NOD78" s="262"/>
      <c r="NOE78" s="262"/>
      <c r="NOF78" s="262"/>
      <c r="NOG78" s="262"/>
      <c r="NOH78" s="262"/>
      <c r="NOI78" s="262"/>
      <c r="NOJ78" s="262"/>
      <c r="NOK78" s="262"/>
      <c r="NOL78" s="262"/>
      <c r="NOM78" s="262"/>
      <c r="NON78" s="262"/>
      <c r="NOO78" s="262"/>
      <c r="NOP78" s="262"/>
      <c r="NOQ78" s="262"/>
      <c r="NOR78" s="262"/>
      <c r="NOS78" s="262"/>
      <c r="NOT78" s="262"/>
      <c r="NOU78" s="262"/>
      <c r="NOV78" s="262"/>
      <c r="NOW78" s="262"/>
      <c r="NOX78" s="262"/>
      <c r="NOY78" s="262"/>
      <c r="NOZ78" s="262"/>
      <c r="NPA78" s="262"/>
      <c r="NPB78" s="262"/>
      <c r="NPC78" s="262"/>
      <c r="NPD78" s="262"/>
      <c r="NPE78" s="262"/>
      <c r="NPF78" s="262"/>
      <c r="NPG78" s="262"/>
      <c r="NPH78" s="262"/>
      <c r="NPI78" s="262"/>
      <c r="NPJ78" s="262"/>
      <c r="NPK78" s="262"/>
      <c r="NPL78" s="262"/>
      <c r="NPM78" s="262"/>
      <c r="NPN78" s="262"/>
      <c r="NPO78" s="262"/>
      <c r="NPP78" s="262"/>
      <c r="NPQ78" s="262"/>
      <c r="NPR78" s="262"/>
      <c r="NPS78" s="262"/>
      <c r="NPT78" s="262"/>
      <c r="NPU78" s="262"/>
      <c r="NPV78" s="262"/>
      <c r="NPW78" s="262"/>
      <c r="NPX78" s="262"/>
      <c r="NPY78" s="262"/>
      <c r="NPZ78" s="262"/>
      <c r="NQA78" s="262"/>
      <c r="NQB78" s="262"/>
      <c r="NQC78" s="262"/>
      <c r="NQD78" s="262"/>
      <c r="NQE78" s="262"/>
      <c r="NQF78" s="262"/>
      <c r="NQG78" s="262"/>
      <c r="NQH78" s="262"/>
      <c r="NQI78" s="262"/>
      <c r="NQJ78" s="262"/>
      <c r="NQK78" s="262"/>
      <c r="NQL78" s="262"/>
      <c r="NQM78" s="262"/>
      <c r="NQN78" s="262"/>
      <c r="NQO78" s="262"/>
      <c r="NQP78" s="262"/>
      <c r="NQQ78" s="262"/>
      <c r="NQR78" s="262"/>
      <c r="NQS78" s="262"/>
      <c r="NQT78" s="262"/>
      <c r="NQU78" s="262"/>
      <c r="NQV78" s="262"/>
      <c r="NQW78" s="262"/>
      <c r="NQX78" s="262"/>
      <c r="NQY78" s="262"/>
      <c r="NQZ78" s="262"/>
      <c r="NRA78" s="262"/>
      <c r="NRB78" s="262"/>
      <c r="NRC78" s="262"/>
      <c r="NRD78" s="262"/>
      <c r="NRE78" s="262"/>
      <c r="NRF78" s="262"/>
      <c r="NRG78" s="262"/>
      <c r="NRH78" s="262"/>
      <c r="NRI78" s="262"/>
      <c r="NRJ78" s="262"/>
      <c r="NRK78" s="262"/>
      <c r="NRL78" s="262"/>
      <c r="NRM78" s="262"/>
      <c r="NRN78" s="262"/>
      <c r="NRO78" s="262"/>
      <c r="NRP78" s="262"/>
      <c r="NRQ78" s="262"/>
      <c r="NRR78" s="262"/>
      <c r="NRS78" s="262"/>
      <c r="NRT78" s="262"/>
      <c r="NRU78" s="262"/>
      <c r="NRV78" s="262"/>
      <c r="NRW78" s="262"/>
      <c r="NRX78" s="262"/>
      <c r="NRY78" s="262"/>
      <c r="NRZ78" s="262"/>
      <c r="NSA78" s="262"/>
      <c r="NSB78" s="262"/>
      <c r="NSC78" s="262"/>
      <c r="NSD78" s="262"/>
      <c r="NSE78" s="262"/>
      <c r="NSF78" s="262"/>
      <c r="NSG78" s="262"/>
      <c r="NSH78" s="262"/>
      <c r="NSI78" s="262"/>
      <c r="NSJ78" s="262"/>
      <c r="NSK78" s="262"/>
      <c r="NSL78" s="262"/>
      <c r="NSM78" s="262"/>
      <c r="NSN78" s="262"/>
      <c r="NSO78" s="262"/>
      <c r="NSP78" s="262"/>
      <c r="NSQ78" s="262"/>
      <c r="NSR78" s="262"/>
      <c r="NSS78" s="262"/>
      <c r="NST78" s="262"/>
      <c r="NSU78" s="262"/>
      <c r="NSV78" s="262"/>
      <c r="NSW78" s="262"/>
      <c r="NSX78" s="262"/>
      <c r="NSY78" s="262"/>
      <c r="NSZ78" s="262"/>
      <c r="NTA78" s="262"/>
      <c r="NTB78" s="262"/>
      <c r="NTC78" s="262"/>
      <c r="NTD78" s="262"/>
      <c r="NTE78" s="262"/>
      <c r="NTF78" s="262"/>
      <c r="NTG78" s="262"/>
      <c r="NTH78" s="262"/>
      <c r="NTI78" s="262"/>
      <c r="NTJ78" s="262"/>
      <c r="NTK78" s="262"/>
      <c r="NTL78" s="262"/>
      <c r="NTM78" s="262"/>
      <c r="NTN78" s="262"/>
      <c r="NTO78" s="262"/>
      <c r="NTP78" s="262"/>
      <c r="NTQ78" s="262"/>
      <c r="NTR78" s="262"/>
      <c r="NTS78" s="262"/>
      <c r="NTT78" s="262"/>
      <c r="NTU78" s="262"/>
      <c r="NTV78" s="262"/>
      <c r="NTW78" s="262"/>
      <c r="NTX78" s="262"/>
      <c r="NTY78" s="262"/>
      <c r="NTZ78" s="262"/>
      <c r="NUA78" s="262"/>
      <c r="NUB78" s="262"/>
      <c r="NUC78" s="262"/>
      <c r="NUD78" s="262"/>
      <c r="NUE78" s="262"/>
      <c r="NUF78" s="262"/>
      <c r="NUG78" s="262"/>
      <c r="NUH78" s="262"/>
      <c r="NUI78" s="262"/>
      <c r="NUJ78" s="262"/>
      <c r="NUK78" s="262"/>
      <c r="NUL78" s="262"/>
      <c r="NUM78" s="262"/>
      <c r="NUN78" s="262"/>
      <c r="NUO78" s="262"/>
      <c r="NUP78" s="262"/>
      <c r="NUQ78" s="262"/>
      <c r="NUR78" s="262"/>
      <c r="NUS78" s="262"/>
      <c r="NUT78" s="262"/>
      <c r="NUU78" s="262"/>
      <c r="NUV78" s="262"/>
      <c r="NUW78" s="262"/>
      <c r="NUX78" s="262"/>
      <c r="NUY78" s="262"/>
      <c r="NUZ78" s="262"/>
      <c r="NVA78" s="262"/>
      <c r="NVB78" s="262"/>
      <c r="NVC78" s="262"/>
      <c r="NVD78" s="262"/>
      <c r="NVE78" s="262"/>
      <c r="NVF78" s="262"/>
      <c r="NVG78" s="262"/>
      <c r="NVH78" s="262"/>
      <c r="NVI78" s="262"/>
      <c r="NVJ78" s="262"/>
      <c r="NVK78" s="262"/>
      <c r="NVL78" s="262"/>
      <c r="NVM78" s="262"/>
      <c r="NVN78" s="262"/>
      <c r="NVO78" s="262"/>
      <c r="NVP78" s="262"/>
      <c r="NVQ78" s="262"/>
      <c r="NVR78" s="262"/>
      <c r="NVS78" s="262"/>
      <c r="NVT78" s="262"/>
      <c r="NVU78" s="262"/>
      <c r="NVV78" s="262"/>
      <c r="NVW78" s="262"/>
      <c r="NVX78" s="262"/>
      <c r="NVY78" s="262"/>
      <c r="NVZ78" s="262"/>
      <c r="NWA78" s="262"/>
      <c r="NWB78" s="262"/>
      <c r="NWC78" s="262"/>
      <c r="NWD78" s="262"/>
      <c r="NWE78" s="262"/>
      <c r="NWF78" s="262"/>
      <c r="NWG78" s="262"/>
      <c r="NWH78" s="262"/>
      <c r="NWI78" s="262"/>
      <c r="NWJ78" s="262"/>
      <c r="NWK78" s="262"/>
      <c r="NWL78" s="262"/>
      <c r="NWM78" s="262"/>
      <c r="NWN78" s="262"/>
      <c r="NWO78" s="262"/>
      <c r="NWP78" s="262"/>
      <c r="NWQ78" s="262"/>
      <c r="NWR78" s="262"/>
      <c r="NWS78" s="262"/>
      <c r="NWT78" s="262"/>
      <c r="NWU78" s="262"/>
      <c r="NWV78" s="262"/>
      <c r="NWW78" s="262"/>
      <c r="NWX78" s="262"/>
      <c r="NWY78" s="262"/>
      <c r="NWZ78" s="262"/>
      <c r="NXA78" s="262"/>
      <c r="NXB78" s="262"/>
      <c r="NXC78" s="262"/>
      <c r="NXD78" s="262"/>
      <c r="NXE78" s="262"/>
      <c r="NXF78" s="262"/>
      <c r="NXG78" s="262"/>
      <c r="NXH78" s="262"/>
      <c r="NXI78" s="262"/>
      <c r="NXJ78" s="262"/>
      <c r="NXK78" s="262"/>
      <c r="NXL78" s="262"/>
      <c r="NXM78" s="262"/>
      <c r="NXN78" s="262"/>
      <c r="NXO78" s="262"/>
      <c r="NXP78" s="262"/>
      <c r="NXQ78" s="262"/>
      <c r="NXR78" s="262"/>
      <c r="NXS78" s="262"/>
      <c r="NXT78" s="262"/>
      <c r="NXU78" s="262"/>
      <c r="NXV78" s="262"/>
      <c r="NXW78" s="262"/>
      <c r="NXX78" s="262"/>
      <c r="NXY78" s="262"/>
      <c r="NXZ78" s="262"/>
      <c r="NYA78" s="262"/>
      <c r="NYB78" s="262"/>
      <c r="NYC78" s="262"/>
      <c r="NYD78" s="262"/>
      <c r="NYE78" s="262"/>
      <c r="NYF78" s="262"/>
      <c r="NYG78" s="262"/>
      <c r="NYH78" s="262"/>
      <c r="NYI78" s="262"/>
      <c r="NYJ78" s="262"/>
      <c r="NYK78" s="262"/>
      <c r="NYL78" s="262"/>
      <c r="NYM78" s="262"/>
      <c r="NYN78" s="262"/>
      <c r="NYO78" s="262"/>
      <c r="NYP78" s="262"/>
      <c r="NYQ78" s="262"/>
      <c r="NYR78" s="262"/>
      <c r="NYS78" s="262"/>
      <c r="NYT78" s="262"/>
      <c r="NYU78" s="262"/>
      <c r="NYV78" s="262"/>
      <c r="NYW78" s="262"/>
      <c r="NYX78" s="262"/>
      <c r="NYY78" s="262"/>
      <c r="NYZ78" s="262"/>
      <c r="NZA78" s="262"/>
      <c r="NZB78" s="262"/>
      <c r="NZC78" s="262"/>
      <c r="NZD78" s="262"/>
      <c r="NZE78" s="262"/>
      <c r="NZF78" s="262"/>
      <c r="NZG78" s="262"/>
      <c r="NZH78" s="262"/>
      <c r="NZI78" s="262"/>
      <c r="NZJ78" s="262"/>
      <c r="NZK78" s="262"/>
      <c r="NZL78" s="262"/>
      <c r="NZM78" s="262"/>
      <c r="NZN78" s="262"/>
      <c r="NZO78" s="262"/>
      <c r="NZP78" s="262"/>
      <c r="NZQ78" s="262"/>
      <c r="NZR78" s="262"/>
      <c r="NZS78" s="262"/>
      <c r="NZT78" s="262"/>
      <c r="NZU78" s="262"/>
      <c r="NZV78" s="262"/>
      <c r="NZW78" s="262"/>
      <c r="NZX78" s="262"/>
      <c r="NZY78" s="262"/>
      <c r="NZZ78" s="262"/>
      <c r="OAA78" s="262"/>
      <c r="OAB78" s="262"/>
      <c r="OAC78" s="262"/>
      <c r="OAD78" s="262"/>
      <c r="OAE78" s="262"/>
      <c r="OAF78" s="262"/>
      <c r="OAG78" s="262"/>
      <c r="OAH78" s="262"/>
      <c r="OAI78" s="262"/>
      <c r="OAJ78" s="262"/>
      <c r="OAK78" s="262"/>
      <c r="OAL78" s="262"/>
      <c r="OAM78" s="262"/>
      <c r="OAN78" s="262"/>
      <c r="OAO78" s="262"/>
      <c r="OAP78" s="262"/>
      <c r="OAQ78" s="262"/>
      <c r="OAR78" s="262"/>
      <c r="OAS78" s="262"/>
      <c r="OAT78" s="262"/>
      <c r="OAU78" s="262"/>
      <c r="OAV78" s="262"/>
      <c r="OAW78" s="262"/>
      <c r="OAX78" s="262"/>
      <c r="OAY78" s="262"/>
      <c r="OAZ78" s="262"/>
      <c r="OBA78" s="262"/>
      <c r="OBB78" s="262"/>
      <c r="OBC78" s="262"/>
      <c r="OBD78" s="262"/>
      <c r="OBE78" s="262"/>
      <c r="OBF78" s="262"/>
      <c r="OBG78" s="262"/>
      <c r="OBH78" s="262"/>
      <c r="OBI78" s="262"/>
      <c r="OBJ78" s="262"/>
      <c r="OBK78" s="262"/>
      <c r="OBL78" s="262"/>
      <c r="OBM78" s="262"/>
      <c r="OBN78" s="262"/>
      <c r="OBO78" s="262"/>
      <c r="OBP78" s="262"/>
      <c r="OBQ78" s="262"/>
      <c r="OBR78" s="262"/>
      <c r="OBS78" s="262"/>
      <c r="OBT78" s="262"/>
      <c r="OBU78" s="262"/>
      <c r="OBV78" s="262"/>
      <c r="OBW78" s="262"/>
      <c r="OBX78" s="262"/>
      <c r="OBY78" s="262"/>
      <c r="OBZ78" s="262"/>
      <c r="OCA78" s="262"/>
      <c r="OCB78" s="262"/>
      <c r="OCC78" s="262"/>
      <c r="OCD78" s="262"/>
      <c r="OCE78" s="262"/>
      <c r="OCF78" s="262"/>
      <c r="OCG78" s="262"/>
      <c r="OCH78" s="262"/>
      <c r="OCI78" s="262"/>
      <c r="OCJ78" s="262"/>
      <c r="OCK78" s="262"/>
      <c r="OCL78" s="262"/>
      <c r="OCM78" s="262"/>
      <c r="OCN78" s="262"/>
      <c r="OCO78" s="262"/>
      <c r="OCP78" s="262"/>
      <c r="OCQ78" s="262"/>
      <c r="OCR78" s="262"/>
      <c r="OCS78" s="262"/>
      <c r="OCT78" s="262"/>
      <c r="OCU78" s="262"/>
      <c r="OCV78" s="262"/>
      <c r="OCW78" s="262"/>
      <c r="OCX78" s="262"/>
      <c r="OCY78" s="262"/>
      <c r="OCZ78" s="262"/>
      <c r="ODA78" s="262"/>
      <c r="ODB78" s="262"/>
      <c r="ODC78" s="262"/>
      <c r="ODD78" s="262"/>
      <c r="ODE78" s="262"/>
      <c r="ODF78" s="262"/>
      <c r="ODG78" s="262"/>
      <c r="ODH78" s="262"/>
      <c r="ODI78" s="262"/>
      <c r="ODJ78" s="262"/>
      <c r="ODK78" s="262"/>
      <c r="ODL78" s="262"/>
      <c r="ODM78" s="262"/>
      <c r="ODN78" s="262"/>
      <c r="ODO78" s="262"/>
      <c r="ODP78" s="262"/>
      <c r="ODQ78" s="262"/>
      <c r="ODR78" s="262"/>
      <c r="ODS78" s="262"/>
      <c r="ODT78" s="262"/>
      <c r="ODU78" s="262"/>
      <c r="ODV78" s="262"/>
      <c r="ODW78" s="262"/>
      <c r="ODX78" s="262"/>
      <c r="ODY78" s="262"/>
      <c r="ODZ78" s="262"/>
      <c r="OEA78" s="262"/>
      <c r="OEB78" s="262"/>
      <c r="OEC78" s="262"/>
      <c r="OED78" s="262"/>
      <c r="OEE78" s="262"/>
      <c r="OEF78" s="262"/>
      <c r="OEG78" s="262"/>
      <c r="OEH78" s="262"/>
      <c r="OEI78" s="262"/>
      <c r="OEJ78" s="262"/>
      <c r="OEK78" s="262"/>
      <c r="OEL78" s="262"/>
      <c r="OEM78" s="262"/>
      <c r="OEN78" s="262"/>
      <c r="OEO78" s="262"/>
      <c r="OEP78" s="262"/>
      <c r="OEQ78" s="262"/>
      <c r="OER78" s="262"/>
      <c r="OES78" s="262"/>
      <c r="OET78" s="262"/>
      <c r="OEU78" s="262"/>
      <c r="OEV78" s="262"/>
      <c r="OEW78" s="262"/>
      <c r="OEX78" s="262"/>
      <c r="OEY78" s="262"/>
      <c r="OEZ78" s="262"/>
      <c r="OFA78" s="262"/>
      <c r="OFB78" s="262"/>
      <c r="OFC78" s="262"/>
      <c r="OFD78" s="262"/>
      <c r="OFE78" s="262"/>
      <c r="OFF78" s="262"/>
      <c r="OFG78" s="262"/>
      <c r="OFH78" s="262"/>
      <c r="OFI78" s="262"/>
      <c r="OFJ78" s="262"/>
      <c r="OFK78" s="262"/>
      <c r="OFL78" s="262"/>
      <c r="OFM78" s="262"/>
      <c r="OFN78" s="262"/>
      <c r="OFO78" s="262"/>
      <c r="OFP78" s="262"/>
      <c r="OFQ78" s="262"/>
      <c r="OFR78" s="262"/>
      <c r="OFS78" s="262"/>
      <c r="OFT78" s="262"/>
      <c r="OFU78" s="262"/>
      <c r="OFV78" s="262"/>
      <c r="OFW78" s="262"/>
      <c r="OFX78" s="262"/>
      <c r="OFY78" s="262"/>
      <c r="OFZ78" s="262"/>
      <c r="OGA78" s="262"/>
      <c r="OGB78" s="262"/>
      <c r="OGC78" s="262"/>
      <c r="OGD78" s="262"/>
      <c r="OGE78" s="262"/>
      <c r="OGF78" s="262"/>
      <c r="OGG78" s="262"/>
      <c r="OGH78" s="262"/>
      <c r="OGI78" s="262"/>
      <c r="OGJ78" s="262"/>
      <c r="OGK78" s="262"/>
      <c r="OGL78" s="262"/>
      <c r="OGM78" s="262"/>
      <c r="OGN78" s="262"/>
      <c r="OGO78" s="262"/>
      <c r="OGP78" s="262"/>
      <c r="OGQ78" s="262"/>
      <c r="OGR78" s="262"/>
      <c r="OGS78" s="262"/>
      <c r="OGT78" s="262"/>
      <c r="OGU78" s="262"/>
      <c r="OGV78" s="262"/>
      <c r="OGW78" s="262"/>
      <c r="OGX78" s="262"/>
      <c r="OGY78" s="262"/>
      <c r="OGZ78" s="262"/>
      <c r="OHA78" s="262"/>
      <c r="OHB78" s="262"/>
      <c r="OHC78" s="262"/>
      <c r="OHD78" s="262"/>
      <c r="OHE78" s="262"/>
      <c r="OHF78" s="262"/>
      <c r="OHG78" s="262"/>
      <c r="OHH78" s="262"/>
      <c r="OHI78" s="262"/>
      <c r="OHJ78" s="262"/>
      <c r="OHK78" s="262"/>
      <c r="OHL78" s="262"/>
      <c r="OHM78" s="262"/>
      <c r="OHN78" s="262"/>
      <c r="OHO78" s="262"/>
      <c r="OHP78" s="262"/>
      <c r="OHQ78" s="262"/>
      <c r="OHR78" s="262"/>
      <c r="OHS78" s="262"/>
      <c r="OHT78" s="262"/>
      <c r="OHU78" s="262"/>
      <c r="OHV78" s="262"/>
      <c r="OHW78" s="262"/>
      <c r="OHX78" s="262"/>
      <c r="OHY78" s="262"/>
      <c r="OHZ78" s="262"/>
      <c r="OIA78" s="262"/>
      <c r="OIB78" s="262"/>
      <c r="OIC78" s="262"/>
      <c r="OID78" s="262"/>
      <c r="OIE78" s="262"/>
      <c r="OIF78" s="262"/>
      <c r="OIG78" s="262"/>
      <c r="OIH78" s="262"/>
      <c r="OII78" s="262"/>
      <c r="OIJ78" s="262"/>
      <c r="OIK78" s="262"/>
      <c r="OIL78" s="262"/>
      <c r="OIM78" s="262"/>
      <c r="OIN78" s="262"/>
      <c r="OIO78" s="262"/>
      <c r="OIP78" s="262"/>
      <c r="OIQ78" s="262"/>
      <c r="OIR78" s="262"/>
      <c r="OIS78" s="262"/>
      <c r="OIT78" s="262"/>
      <c r="OIU78" s="262"/>
      <c r="OIV78" s="262"/>
      <c r="OIW78" s="262"/>
      <c r="OIX78" s="262"/>
      <c r="OIY78" s="262"/>
      <c r="OIZ78" s="262"/>
      <c r="OJA78" s="262"/>
      <c r="OJB78" s="262"/>
      <c r="OJC78" s="262"/>
      <c r="OJD78" s="262"/>
      <c r="OJE78" s="262"/>
      <c r="OJF78" s="262"/>
      <c r="OJG78" s="262"/>
      <c r="OJH78" s="262"/>
      <c r="OJI78" s="262"/>
      <c r="OJJ78" s="262"/>
      <c r="OJK78" s="262"/>
      <c r="OJL78" s="262"/>
      <c r="OJM78" s="262"/>
      <c r="OJN78" s="262"/>
      <c r="OJO78" s="262"/>
      <c r="OJP78" s="262"/>
      <c r="OJQ78" s="262"/>
      <c r="OJR78" s="262"/>
      <c r="OJS78" s="262"/>
      <c r="OJT78" s="262"/>
      <c r="OJU78" s="262"/>
      <c r="OJV78" s="262"/>
      <c r="OJW78" s="262"/>
      <c r="OJX78" s="262"/>
      <c r="OJY78" s="262"/>
      <c r="OJZ78" s="262"/>
      <c r="OKA78" s="262"/>
      <c r="OKB78" s="262"/>
      <c r="OKC78" s="262"/>
      <c r="OKD78" s="262"/>
      <c r="OKE78" s="262"/>
      <c r="OKF78" s="262"/>
      <c r="OKG78" s="262"/>
      <c r="OKH78" s="262"/>
      <c r="OKI78" s="262"/>
      <c r="OKJ78" s="262"/>
      <c r="OKK78" s="262"/>
      <c r="OKL78" s="262"/>
      <c r="OKM78" s="262"/>
      <c r="OKN78" s="262"/>
      <c r="OKO78" s="262"/>
      <c r="OKP78" s="262"/>
      <c r="OKQ78" s="262"/>
      <c r="OKR78" s="262"/>
      <c r="OKS78" s="262"/>
      <c r="OKT78" s="262"/>
      <c r="OKU78" s="262"/>
      <c r="OKV78" s="262"/>
      <c r="OKW78" s="262"/>
      <c r="OKX78" s="262"/>
      <c r="OKY78" s="262"/>
      <c r="OKZ78" s="262"/>
      <c r="OLA78" s="262"/>
      <c r="OLB78" s="262"/>
      <c r="OLC78" s="262"/>
      <c r="OLD78" s="262"/>
      <c r="OLE78" s="262"/>
      <c r="OLF78" s="262"/>
      <c r="OLG78" s="262"/>
      <c r="OLH78" s="262"/>
      <c r="OLI78" s="262"/>
      <c r="OLJ78" s="262"/>
      <c r="OLK78" s="262"/>
      <c r="OLL78" s="262"/>
      <c r="OLM78" s="262"/>
      <c r="OLN78" s="262"/>
      <c r="OLO78" s="262"/>
      <c r="OLP78" s="262"/>
      <c r="OLQ78" s="262"/>
      <c r="OLR78" s="262"/>
      <c r="OLS78" s="262"/>
      <c r="OLT78" s="262"/>
      <c r="OLU78" s="262"/>
      <c r="OLV78" s="262"/>
      <c r="OLW78" s="262"/>
      <c r="OLX78" s="262"/>
      <c r="OLY78" s="262"/>
      <c r="OLZ78" s="262"/>
      <c r="OMA78" s="262"/>
      <c r="OMB78" s="262"/>
      <c r="OMC78" s="262"/>
      <c r="OMD78" s="262"/>
      <c r="OME78" s="262"/>
      <c r="OMF78" s="262"/>
      <c r="OMG78" s="262"/>
      <c r="OMH78" s="262"/>
      <c r="OMI78" s="262"/>
      <c r="OMJ78" s="262"/>
      <c r="OMK78" s="262"/>
      <c r="OML78" s="262"/>
      <c r="OMM78" s="262"/>
      <c r="OMN78" s="262"/>
      <c r="OMO78" s="262"/>
      <c r="OMP78" s="262"/>
      <c r="OMQ78" s="262"/>
      <c r="OMR78" s="262"/>
      <c r="OMS78" s="262"/>
      <c r="OMT78" s="262"/>
      <c r="OMU78" s="262"/>
      <c r="OMV78" s="262"/>
      <c r="OMW78" s="262"/>
      <c r="OMX78" s="262"/>
      <c r="OMY78" s="262"/>
      <c r="OMZ78" s="262"/>
      <c r="ONA78" s="262"/>
      <c r="ONB78" s="262"/>
      <c r="ONC78" s="262"/>
      <c r="OND78" s="262"/>
      <c r="ONE78" s="262"/>
      <c r="ONF78" s="262"/>
      <c r="ONG78" s="262"/>
      <c r="ONH78" s="262"/>
      <c r="ONI78" s="262"/>
      <c r="ONJ78" s="262"/>
      <c r="ONK78" s="262"/>
      <c r="ONL78" s="262"/>
      <c r="ONM78" s="262"/>
      <c r="ONN78" s="262"/>
      <c r="ONO78" s="262"/>
      <c r="ONP78" s="262"/>
      <c r="ONQ78" s="262"/>
      <c r="ONR78" s="262"/>
      <c r="ONS78" s="262"/>
      <c r="ONT78" s="262"/>
      <c r="ONU78" s="262"/>
      <c r="ONV78" s="262"/>
      <c r="ONW78" s="262"/>
      <c r="ONX78" s="262"/>
      <c r="ONY78" s="262"/>
      <c r="ONZ78" s="262"/>
      <c r="OOA78" s="262"/>
      <c r="OOB78" s="262"/>
      <c r="OOC78" s="262"/>
      <c r="OOD78" s="262"/>
      <c r="OOE78" s="262"/>
      <c r="OOF78" s="262"/>
      <c r="OOG78" s="262"/>
      <c r="OOH78" s="262"/>
      <c r="OOI78" s="262"/>
      <c r="OOJ78" s="262"/>
      <c r="OOK78" s="262"/>
      <c r="OOL78" s="262"/>
      <c r="OOM78" s="262"/>
      <c r="OON78" s="262"/>
      <c r="OOO78" s="262"/>
      <c r="OOP78" s="262"/>
      <c r="OOQ78" s="262"/>
      <c r="OOR78" s="262"/>
      <c r="OOS78" s="262"/>
      <c r="OOT78" s="262"/>
      <c r="OOU78" s="262"/>
      <c r="OOV78" s="262"/>
      <c r="OOW78" s="262"/>
      <c r="OOX78" s="262"/>
      <c r="OOY78" s="262"/>
      <c r="OOZ78" s="262"/>
      <c r="OPA78" s="262"/>
      <c r="OPB78" s="262"/>
      <c r="OPC78" s="262"/>
      <c r="OPD78" s="262"/>
      <c r="OPE78" s="262"/>
      <c r="OPF78" s="262"/>
      <c r="OPG78" s="262"/>
      <c r="OPH78" s="262"/>
      <c r="OPI78" s="262"/>
      <c r="OPJ78" s="262"/>
      <c r="OPK78" s="262"/>
      <c r="OPL78" s="262"/>
      <c r="OPM78" s="262"/>
      <c r="OPN78" s="262"/>
      <c r="OPO78" s="262"/>
      <c r="OPP78" s="262"/>
      <c r="OPQ78" s="262"/>
      <c r="OPR78" s="262"/>
      <c r="OPS78" s="262"/>
      <c r="OPT78" s="262"/>
      <c r="OPU78" s="262"/>
      <c r="OPV78" s="262"/>
      <c r="OPW78" s="262"/>
      <c r="OPX78" s="262"/>
      <c r="OPY78" s="262"/>
      <c r="OPZ78" s="262"/>
      <c r="OQA78" s="262"/>
      <c r="OQB78" s="262"/>
      <c r="OQC78" s="262"/>
      <c r="OQD78" s="262"/>
      <c r="OQE78" s="262"/>
      <c r="OQF78" s="262"/>
      <c r="OQG78" s="262"/>
      <c r="OQH78" s="262"/>
      <c r="OQI78" s="262"/>
      <c r="OQJ78" s="262"/>
      <c r="OQK78" s="262"/>
      <c r="OQL78" s="262"/>
      <c r="OQM78" s="262"/>
      <c r="OQN78" s="262"/>
      <c r="OQO78" s="262"/>
      <c r="OQP78" s="262"/>
      <c r="OQQ78" s="262"/>
      <c r="OQR78" s="262"/>
      <c r="OQS78" s="262"/>
      <c r="OQT78" s="262"/>
      <c r="OQU78" s="262"/>
      <c r="OQV78" s="262"/>
      <c r="OQW78" s="262"/>
      <c r="OQX78" s="262"/>
      <c r="OQY78" s="262"/>
      <c r="OQZ78" s="262"/>
      <c r="ORA78" s="262"/>
      <c r="ORB78" s="262"/>
      <c r="ORC78" s="262"/>
      <c r="ORD78" s="262"/>
      <c r="ORE78" s="262"/>
      <c r="ORF78" s="262"/>
      <c r="ORG78" s="262"/>
      <c r="ORH78" s="262"/>
      <c r="ORI78" s="262"/>
      <c r="ORJ78" s="262"/>
      <c r="ORK78" s="262"/>
      <c r="ORL78" s="262"/>
      <c r="ORM78" s="262"/>
      <c r="ORN78" s="262"/>
      <c r="ORO78" s="262"/>
      <c r="ORP78" s="262"/>
      <c r="ORQ78" s="262"/>
      <c r="ORR78" s="262"/>
      <c r="ORS78" s="262"/>
      <c r="ORT78" s="262"/>
      <c r="ORU78" s="262"/>
      <c r="ORV78" s="262"/>
      <c r="ORW78" s="262"/>
      <c r="ORX78" s="262"/>
      <c r="ORY78" s="262"/>
      <c r="ORZ78" s="262"/>
      <c r="OSA78" s="262"/>
      <c r="OSB78" s="262"/>
      <c r="OSC78" s="262"/>
      <c r="OSD78" s="262"/>
      <c r="OSE78" s="262"/>
      <c r="OSF78" s="262"/>
      <c r="OSG78" s="262"/>
      <c r="OSH78" s="262"/>
      <c r="OSI78" s="262"/>
      <c r="OSJ78" s="262"/>
      <c r="OSK78" s="262"/>
      <c r="OSL78" s="262"/>
      <c r="OSM78" s="262"/>
      <c r="OSN78" s="262"/>
      <c r="OSO78" s="262"/>
      <c r="OSP78" s="262"/>
      <c r="OSQ78" s="262"/>
      <c r="OSR78" s="262"/>
      <c r="OSS78" s="262"/>
      <c r="OST78" s="262"/>
      <c r="OSU78" s="262"/>
      <c r="OSV78" s="262"/>
      <c r="OSW78" s="262"/>
      <c r="OSX78" s="262"/>
      <c r="OSY78" s="262"/>
      <c r="OSZ78" s="262"/>
      <c r="OTA78" s="262"/>
      <c r="OTB78" s="262"/>
      <c r="OTC78" s="262"/>
      <c r="OTD78" s="262"/>
      <c r="OTE78" s="262"/>
      <c r="OTF78" s="262"/>
      <c r="OTG78" s="262"/>
      <c r="OTH78" s="262"/>
      <c r="OTI78" s="262"/>
      <c r="OTJ78" s="262"/>
      <c r="OTK78" s="262"/>
      <c r="OTL78" s="262"/>
      <c r="OTM78" s="262"/>
      <c r="OTN78" s="262"/>
      <c r="OTO78" s="262"/>
      <c r="OTP78" s="262"/>
      <c r="OTQ78" s="262"/>
      <c r="OTR78" s="262"/>
      <c r="OTS78" s="262"/>
      <c r="OTT78" s="262"/>
      <c r="OTU78" s="262"/>
      <c r="OTV78" s="262"/>
      <c r="OTW78" s="262"/>
      <c r="OTX78" s="262"/>
      <c r="OTY78" s="262"/>
      <c r="OTZ78" s="262"/>
      <c r="OUA78" s="262"/>
      <c r="OUB78" s="262"/>
      <c r="OUC78" s="262"/>
      <c r="OUD78" s="262"/>
      <c r="OUE78" s="262"/>
      <c r="OUF78" s="262"/>
      <c r="OUG78" s="262"/>
      <c r="OUH78" s="262"/>
      <c r="OUI78" s="262"/>
      <c r="OUJ78" s="262"/>
      <c r="OUK78" s="262"/>
      <c r="OUL78" s="262"/>
      <c r="OUM78" s="262"/>
      <c r="OUN78" s="262"/>
      <c r="OUO78" s="262"/>
      <c r="OUP78" s="262"/>
      <c r="OUQ78" s="262"/>
      <c r="OUR78" s="262"/>
      <c r="OUS78" s="262"/>
      <c r="OUT78" s="262"/>
      <c r="OUU78" s="262"/>
      <c r="OUV78" s="262"/>
      <c r="OUW78" s="262"/>
      <c r="OUX78" s="262"/>
      <c r="OUY78" s="262"/>
      <c r="OUZ78" s="262"/>
      <c r="OVA78" s="262"/>
      <c r="OVB78" s="262"/>
      <c r="OVC78" s="262"/>
      <c r="OVD78" s="262"/>
      <c r="OVE78" s="262"/>
      <c r="OVF78" s="262"/>
      <c r="OVG78" s="262"/>
      <c r="OVH78" s="262"/>
      <c r="OVI78" s="262"/>
      <c r="OVJ78" s="262"/>
      <c r="OVK78" s="262"/>
      <c r="OVL78" s="262"/>
      <c r="OVM78" s="262"/>
      <c r="OVN78" s="262"/>
      <c r="OVO78" s="262"/>
      <c r="OVP78" s="262"/>
      <c r="OVQ78" s="262"/>
      <c r="OVR78" s="262"/>
      <c r="OVS78" s="262"/>
      <c r="OVT78" s="262"/>
      <c r="OVU78" s="262"/>
      <c r="OVV78" s="262"/>
      <c r="OVW78" s="262"/>
      <c r="OVX78" s="262"/>
      <c r="OVY78" s="262"/>
      <c r="OVZ78" s="262"/>
      <c r="OWA78" s="262"/>
      <c r="OWB78" s="262"/>
      <c r="OWC78" s="262"/>
      <c r="OWD78" s="262"/>
      <c r="OWE78" s="262"/>
      <c r="OWF78" s="262"/>
      <c r="OWG78" s="262"/>
      <c r="OWH78" s="262"/>
      <c r="OWI78" s="262"/>
      <c r="OWJ78" s="262"/>
      <c r="OWK78" s="262"/>
      <c r="OWL78" s="262"/>
      <c r="OWM78" s="262"/>
      <c r="OWN78" s="262"/>
      <c r="OWO78" s="262"/>
      <c r="OWP78" s="262"/>
      <c r="OWQ78" s="262"/>
      <c r="OWR78" s="262"/>
      <c r="OWS78" s="262"/>
      <c r="OWT78" s="262"/>
      <c r="OWU78" s="262"/>
      <c r="OWV78" s="262"/>
      <c r="OWW78" s="262"/>
      <c r="OWX78" s="262"/>
      <c r="OWY78" s="262"/>
      <c r="OWZ78" s="262"/>
      <c r="OXA78" s="262"/>
      <c r="OXB78" s="262"/>
      <c r="OXC78" s="262"/>
      <c r="OXD78" s="262"/>
      <c r="OXE78" s="262"/>
      <c r="OXF78" s="262"/>
      <c r="OXG78" s="262"/>
      <c r="OXH78" s="262"/>
      <c r="OXI78" s="262"/>
      <c r="OXJ78" s="262"/>
      <c r="OXK78" s="262"/>
      <c r="OXL78" s="262"/>
      <c r="OXM78" s="262"/>
      <c r="OXN78" s="262"/>
      <c r="OXO78" s="262"/>
      <c r="OXP78" s="262"/>
      <c r="OXQ78" s="262"/>
      <c r="OXR78" s="262"/>
      <c r="OXS78" s="262"/>
      <c r="OXT78" s="262"/>
      <c r="OXU78" s="262"/>
      <c r="OXV78" s="262"/>
      <c r="OXW78" s="262"/>
      <c r="OXX78" s="262"/>
      <c r="OXY78" s="262"/>
      <c r="OXZ78" s="262"/>
      <c r="OYA78" s="262"/>
      <c r="OYB78" s="262"/>
      <c r="OYC78" s="262"/>
      <c r="OYD78" s="262"/>
      <c r="OYE78" s="262"/>
      <c r="OYF78" s="262"/>
      <c r="OYG78" s="262"/>
      <c r="OYH78" s="262"/>
      <c r="OYI78" s="262"/>
      <c r="OYJ78" s="262"/>
      <c r="OYK78" s="262"/>
      <c r="OYL78" s="262"/>
      <c r="OYM78" s="262"/>
      <c r="OYN78" s="262"/>
      <c r="OYO78" s="262"/>
      <c r="OYP78" s="262"/>
      <c r="OYQ78" s="262"/>
      <c r="OYR78" s="262"/>
      <c r="OYS78" s="262"/>
      <c r="OYT78" s="262"/>
      <c r="OYU78" s="262"/>
      <c r="OYV78" s="262"/>
      <c r="OYW78" s="262"/>
      <c r="OYX78" s="262"/>
      <c r="OYY78" s="262"/>
      <c r="OYZ78" s="262"/>
      <c r="OZA78" s="262"/>
      <c r="OZB78" s="262"/>
      <c r="OZC78" s="262"/>
      <c r="OZD78" s="262"/>
      <c r="OZE78" s="262"/>
      <c r="OZF78" s="262"/>
      <c r="OZG78" s="262"/>
      <c r="OZH78" s="262"/>
      <c r="OZI78" s="262"/>
      <c r="OZJ78" s="262"/>
      <c r="OZK78" s="262"/>
      <c r="OZL78" s="262"/>
      <c r="OZM78" s="262"/>
      <c r="OZN78" s="262"/>
      <c r="OZO78" s="262"/>
      <c r="OZP78" s="262"/>
      <c r="OZQ78" s="262"/>
      <c r="OZR78" s="262"/>
      <c r="OZS78" s="262"/>
      <c r="OZT78" s="262"/>
      <c r="OZU78" s="262"/>
      <c r="OZV78" s="262"/>
      <c r="OZW78" s="262"/>
      <c r="OZX78" s="262"/>
      <c r="OZY78" s="262"/>
      <c r="OZZ78" s="262"/>
      <c r="PAA78" s="262"/>
      <c r="PAB78" s="262"/>
      <c r="PAC78" s="262"/>
      <c r="PAD78" s="262"/>
      <c r="PAE78" s="262"/>
      <c r="PAF78" s="262"/>
      <c r="PAG78" s="262"/>
      <c r="PAH78" s="262"/>
      <c r="PAI78" s="262"/>
      <c r="PAJ78" s="262"/>
      <c r="PAK78" s="262"/>
      <c r="PAL78" s="262"/>
      <c r="PAM78" s="262"/>
      <c r="PAN78" s="262"/>
      <c r="PAO78" s="262"/>
      <c r="PAP78" s="262"/>
      <c r="PAQ78" s="262"/>
      <c r="PAR78" s="262"/>
      <c r="PAS78" s="262"/>
      <c r="PAT78" s="262"/>
      <c r="PAU78" s="262"/>
      <c r="PAV78" s="262"/>
      <c r="PAW78" s="262"/>
      <c r="PAX78" s="262"/>
      <c r="PAY78" s="262"/>
      <c r="PAZ78" s="262"/>
      <c r="PBA78" s="262"/>
      <c r="PBB78" s="262"/>
      <c r="PBC78" s="262"/>
      <c r="PBD78" s="262"/>
      <c r="PBE78" s="262"/>
      <c r="PBF78" s="262"/>
      <c r="PBG78" s="262"/>
      <c r="PBH78" s="262"/>
      <c r="PBI78" s="262"/>
      <c r="PBJ78" s="262"/>
      <c r="PBK78" s="262"/>
      <c r="PBL78" s="262"/>
      <c r="PBM78" s="262"/>
      <c r="PBN78" s="262"/>
      <c r="PBO78" s="262"/>
      <c r="PBP78" s="262"/>
      <c r="PBQ78" s="262"/>
      <c r="PBR78" s="262"/>
      <c r="PBS78" s="262"/>
      <c r="PBT78" s="262"/>
      <c r="PBU78" s="262"/>
      <c r="PBV78" s="262"/>
      <c r="PBW78" s="262"/>
      <c r="PBX78" s="262"/>
      <c r="PBY78" s="262"/>
      <c r="PBZ78" s="262"/>
      <c r="PCA78" s="262"/>
      <c r="PCB78" s="262"/>
      <c r="PCC78" s="262"/>
      <c r="PCD78" s="262"/>
      <c r="PCE78" s="262"/>
      <c r="PCF78" s="262"/>
      <c r="PCG78" s="262"/>
      <c r="PCH78" s="262"/>
      <c r="PCI78" s="262"/>
      <c r="PCJ78" s="262"/>
      <c r="PCK78" s="262"/>
      <c r="PCL78" s="262"/>
      <c r="PCM78" s="262"/>
      <c r="PCN78" s="262"/>
      <c r="PCO78" s="262"/>
      <c r="PCP78" s="262"/>
      <c r="PCQ78" s="262"/>
      <c r="PCR78" s="262"/>
      <c r="PCS78" s="262"/>
      <c r="PCT78" s="262"/>
      <c r="PCU78" s="262"/>
      <c r="PCV78" s="262"/>
      <c r="PCW78" s="262"/>
      <c r="PCX78" s="262"/>
      <c r="PCY78" s="262"/>
      <c r="PCZ78" s="262"/>
      <c r="PDA78" s="262"/>
      <c r="PDB78" s="262"/>
      <c r="PDC78" s="262"/>
      <c r="PDD78" s="262"/>
      <c r="PDE78" s="262"/>
      <c r="PDF78" s="262"/>
      <c r="PDG78" s="262"/>
      <c r="PDH78" s="262"/>
      <c r="PDI78" s="262"/>
      <c r="PDJ78" s="262"/>
      <c r="PDK78" s="262"/>
      <c r="PDL78" s="262"/>
      <c r="PDM78" s="262"/>
      <c r="PDN78" s="262"/>
      <c r="PDO78" s="262"/>
      <c r="PDP78" s="262"/>
      <c r="PDQ78" s="262"/>
      <c r="PDR78" s="262"/>
      <c r="PDS78" s="262"/>
      <c r="PDT78" s="262"/>
      <c r="PDU78" s="262"/>
      <c r="PDV78" s="262"/>
      <c r="PDW78" s="262"/>
      <c r="PDX78" s="262"/>
      <c r="PDY78" s="262"/>
      <c r="PDZ78" s="262"/>
      <c r="PEA78" s="262"/>
      <c r="PEB78" s="262"/>
      <c r="PEC78" s="262"/>
      <c r="PED78" s="262"/>
      <c r="PEE78" s="262"/>
      <c r="PEF78" s="262"/>
      <c r="PEG78" s="262"/>
      <c r="PEH78" s="262"/>
      <c r="PEI78" s="262"/>
      <c r="PEJ78" s="262"/>
      <c r="PEK78" s="262"/>
      <c r="PEL78" s="262"/>
      <c r="PEM78" s="262"/>
      <c r="PEN78" s="262"/>
      <c r="PEO78" s="262"/>
      <c r="PEP78" s="262"/>
      <c r="PEQ78" s="262"/>
      <c r="PER78" s="262"/>
      <c r="PES78" s="262"/>
      <c r="PET78" s="262"/>
      <c r="PEU78" s="262"/>
      <c r="PEV78" s="262"/>
      <c r="PEW78" s="262"/>
      <c r="PEX78" s="262"/>
      <c r="PEY78" s="262"/>
      <c r="PEZ78" s="262"/>
      <c r="PFA78" s="262"/>
      <c r="PFB78" s="262"/>
      <c r="PFC78" s="262"/>
      <c r="PFD78" s="262"/>
      <c r="PFE78" s="262"/>
      <c r="PFF78" s="262"/>
      <c r="PFG78" s="262"/>
      <c r="PFH78" s="262"/>
      <c r="PFI78" s="262"/>
      <c r="PFJ78" s="262"/>
      <c r="PFK78" s="262"/>
      <c r="PFL78" s="262"/>
      <c r="PFM78" s="262"/>
      <c r="PFN78" s="262"/>
      <c r="PFO78" s="262"/>
      <c r="PFP78" s="262"/>
      <c r="PFQ78" s="262"/>
      <c r="PFR78" s="262"/>
      <c r="PFS78" s="262"/>
      <c r="PFT78" s="262"/>
      <c r="PFU78" s="262"/>
      <c r="PFV78" s="262"/>
      <c r="PFW78" s="262"/>
      <c r="PFX78" s="262"/>
      <c r="PFY78" s="262"/>
      <c r="PFZ78" s="262"/>
      <c r="PGA78" s="262"/>
      <c r="PGB78" s="262"/>
      <c r="PGC78" s="262"/>
      <c r="PGD78" s="262"/>
      <c r="PGE78" s="262"/>
      <c r="PGF78" s="262"/>
      <c r="PGG78" s="262"/>
      <c r="PGH78" s="262"/>
      <c r="PGI78" s="262"/>
      <c r="PGJ78" s="262"/>
      <c r="PGK78" s="262"/>
      <c r="PGL78" s="262"/>
      <c r="PGM78" s="262"/>
      <c r="PGN78" s="262"/>
      <c r="PGO78" s="262"/>
      <c r="PGP78" s="262"/>
      <c r="PGQ78" s="262"/>
      <c r="PGR78" s="262"/>
      <c r="PGS78" s="262"/>
      <c r="PGT78" s="262"/>
      <c r="PGU78" s="262"/>
      <c r="PGV78" s="262"/>
      <c r="PGW78" s="262"/>
      <c r="PGX78" s="262"/>
      <c r="PGY78" s="262"/>
      <c r="PGZ78" s="262"/>
      <c r="PHA78" s="262"/>
      <c r="PHB78" s="262"/>
      <c r="PHC78" s="262"/>
      <c r="PHD78" s="262"/>
      <c r="PHE78" s="262"/>
      <c r="PHF78" s="262"/>
      <c r="PHG78" s="262"/>
      <c r="PHH78" s="262"/>
      <c r="PHI78" s="262"/>
      <c r="PHJ78" s="262"/>
      <c r="PHK78" s="262"/>
      <c r="PHL78" s="262"/>
      <c r="PHM78" s="262"/>
      <c r="PHN78" s="262"/>
      <c r="PHO78" s="262"/>
      <c r="PHP78" s="262"/>
      <c r="PHQ78" s="262"/>
      <c r="PHR78" s="262"/>
      <c r="PHS78" s="262"/>
      <c r="PHT78" s="262"/>
      <c r="PHU78" s="262"/>
      <c r="PHV78" s="262"/>
      <c r="PHW78" s="262"/>
      <c r="PHX78" s="262"/>
      <c r="PHY78" s="262"/>
      <c r="PHZ78" s="262"/>
      <c r="PIA78" s="262"/>
      <c r="PIB78" s="262"/>
      <c r="PIC78" s="262"/>
      <c r="PID78" s="262"/>
      <c r="PIE78" s="262"/>
      <c r="PIF78" s="262"/>
      <c r="PIG78" s="262"/>
      <c r="PIH78" s="262"/>
      <c r="PII78" s="262"/>
      <c r="PIJ78" s="262"/>
      <c r="PIK78" s="262"/>
      <c r="PIL78" s="262"/>
      <c r="PIM78" s="262"/>
      <c r="PIN78" s="262"/>
      <c r="PIO78" s="262"/>
      <c r="PIP78" s="262"/>
      <c r="PIQ78" s="262"/>
      <c r="PIR78" s="262"/>
      <c r="PIS78" s="262"/>
      <c r="PIT78" s="262"/>
      <c r="PIU78" s="262"/>
      <c r="PIV78" s="262"/>
      <c r="PIW78" s="262"/>
      <c r="PIX78" s="262"/>
      <c r="PIY78" s="262"/>
      <c r="PIZ78" s="262"/>
      <c r="PJA78" s="262"/>
      <c r="PJB78" s="262"/>
      <c r="PJC78" s="262"/>
      <c r="PJD78" s="262"/>
      <c r="PJE78" s="262"/>
      <c r="PJF78" s="262"/>
      <c r="PJG78" s="262"/>
      <c r="PJH78" s="262"/>
      <c r="PJI78" s="262"/>
      <c r="PJJ78" s="262"/>
      <c r="PJK78" s="262"/>
      <c r="PJL78" s="262"/>
      <c r="PJM78" s="262"/>
      <c r="PJN78" s="262"/>
      <c r="PJO78" s="262"/>
      <c r="PJP78" s="262"/>
      <c r="PJQ78" s="262"/>
      <c r="PJR78" s="262"/>
      <c r="PJS78" s="262"/>
      <c r="PJT78" s="262"/>
      <c r="PJU78" s="262"/>
      <c r="PJV78" s="262"/>
      <c r="PJW78" s="262"/>
      <c r="PJX78" s="262"/>
      <c r="PJY78" s="262"/>
      <c r="PJZ78" s="262"/>
      <c r="PKA78" s="262"/>
      <c r="PKB78" s="262"/>
      <c r="PKC78" s="262"/>
      <c r="PKD78" s="262"/>
      <c r="PKE78" s="262"/>
      <c r="PKF78" s="262"/>
      <c r="PKG78" s="262"/>
      <c r="PKH78" s="262"/>
      <c r="PKI78" s="262"/>
      <c r="PKJ78" s="262"/>
      <c r="PKK78" s="262"/>
      <c r="PKL78" s="262"/>
      <c r="PKM78" s="262"/>
      <c r="PKN78" s="262"/>
      <c r="PKO78" s="262"/>
      <c r="PKP78" s="262"/>
      <c r="PKQ78" s="262"/>
      <c r="PKR78" s="262"/>
      <c r="PKS78" s="262"/>
      <c r="PKT78" s="262"/>
      <c r="PKU78" s="262"/>
      <c r="PKV78" s="262"/>
      <c r="PKW78" s="262"/>
      <c r="PKX78" s="262"/>
      <c r="PKY78" s="262"/>
      <c r="PKZ78" s="262"/>
      <c r="PLA78" s="262"/>
      <c r="PLB78" s="262"/>
      <c r="PLC78" s="262"/>
      <c r="PLD78" s="262"/>
      <c r="PLE78" s="262"/>
      <c r="PLF78" s="262"/>
      <c r="PLG78" s="262"/>
      <c r="PLH78" s="262"/>
      <c r="PLI78" s="262"/>
      <c r="PLJ78" s="262"/>
      <c r="PLK78" s="262"/>
      <c r="PLL78" s="262"/>
      <c r="PLM78" s="262"/>
      <c r="PLN78" s="262"/>
      <c r="PLO78" s="262"/>
      <c r="PLP78" s="262"/>
      <c r="PLQ78" s="262"/>
      <c r="PLR78" s="262"/>
      <c r="PLS78" s="262"/>
      <c r="PLT78" s="262"/>
      <c r="PLU78" s="262"/>
      <c r="PLV78" s="262"/>
      <c r="PLW78" s="262"/>
      <c r="PLX78" s="262"/>
      <c r="PLY78" s="262"/>
      <c r="PLZ78" s="262"/>
      <c r="PMA78" s="262"/>
      <c r="PMB78" s="262"/>
      <c r="PMC78" s="262"/>
      <c r="PMD78" s="262"/>
      <c r="PME78" s="262"/>
      <c r="PMF78" s="262"/>
      <c r="PMG78" s="262"/>
      <c r="PMH78" s="262"/>
      <c r="PMI78" s="262"/>
      <c r="PMJ78" s="262"/>
      <c r="PMK78" s="262"/>
      <c r="PML78" s="262"/>
      <c r="PMM78" s="262"/>
      <c r="PMN78" s="262"/>
      <c r="PMO78" s="262"/>
      <c r="PMP78" s="262"/>
      <c r="PMQ78" s="262"/>
      <c r="PMR78" s="262"/>
      <c r="PMS78" s="262"/>
      <c r="PMT78" s="262"/>
      <c r="PMU78" s="262"/>
      <c r="PMV78" s="262"/>
      <c r="PMW78" s="262"/>
      <c r="PMX78" s="262"/>
      <c r="PMY78" s="262"/>
      <c r="PMZ78" s="262"/>
      <c r="PNA78" s="262"/>
      <c r="PNB78" s="262"/>
      <c r="PNC78" s="262"/>
      <c r="PND78" s="262"/>
      <c r="PNE78" s="262"/>
      <c r="PNF78" s="262"/>
      <c r="PNG78" s="262"/>
      <c r="PNH78" s="262"/>
      <c r="PNI78" s="262"/>
      <c r="PNJ78" s="262"/>
      <c r="PNK78" s="262"/>
      <c r="PNL78" s="262"/>
      <c r="PNM78" s="262"/>
      <c r="PNN78" s="262"/>
      <c r="PNO78" s="262"/>
      <c r="PNP78" s="262"/>
      <c r="PNQ78" s="262"/>
      <c r="PNR78" s="262"/>
      <c r="PNS78" s="262"/>
      <c r="PNT78" s="262"/>
      <c r="PNU78" s="262"/>
      <c r="PNV78" s="262"/>
      <c r="PNW78" s="262"/>
      <c r="PNX78" s="262"/>
      <c r="PNY78" s="262"/>
      <c r="PNZ78" s="262"/>
      <c r="POA78" s="262"/>
      <c r="POB78" s="262"/>
      <c r="POC78" s="262"/>
      <c r="POD78" s="262"/>
      <c r="POE78" s="262"/>
      <c r="POF78" s="262"/>
      <c r="POG78" s="262"/>
      <c r="POH78" s="262"/>
      <c r="POI78" s="262"/>
      <c r="POJ78" s="262"/>
      <c r="POK78" s="262"/>
      <c r="POL78" s="262"/>
      <c r="POM78" s="262"/>
      <c r="PON78" s="262"/>
      <c r="POO78" s="262"/>
      <c r="POP78" s="262"/>
      <c r="POQ78" s="262"/>
      <c r="POR78" s="262"/>
      <c r="POS78" s="262"/>
      <c r="POT78" s="262"/>
      <c r="POU78" s="262"/>
      <c r="POV78" s="262"/>
      <c r="POW78" s="262"/>
      <c r="POX78" s="262"/>
      <c r="POY78" s="262"/>
      <c r="POZ78" s="262"/>
      <c r="PPA78" s="262"/>
      <c r="PPB78" s="262"/>
      <c r="PPC78" s="262"/>
      <c r="PPD78" s="262"/>
      <c r="PPE78" s="262"/>
      <c r="PPF78" s="262"/>
      <c r="PPG78" s="262"/>
      <c r="PPH78" s="262"/>
      <c r="PPI78" s="262"/>
      <c r="PPJ78" s="262"/>
      <c r="PPK78" s="262"/>
      <c r="PPL78" s="262"/>
      <c r="PPM78" s="262"/>
      <c r="PPN78" s="262"/>
      <c r="PPO78" s="262"/>
      <c r="PPP78" s="262"/>
      <c r="PPQ78" s="262"/>
      <c r="PPR78" s="262"/>
      <c r="PPS78" s="262"/>
      <c r="PPT78" s="262"/>
      <c r="PPU78" s="262"/>
      <c r="PPV78" s="262"/>
      <c r="PPW78" s="262"/>
      <c r="PPX78" s="262"/>
      <c r="PPY78" s="262"/>
      <c r="PPZ78" s="262"/>
      <c r="PQA78" s="262"/>
      <c r="PQB78" s="262"/>
      <c r="PQC78" s="262"/>
      <c r="PQD78" s="262"/>
      <c r="PQE78" s="262"/>
      <c r="PQF78" s="262"/>
      <c r="PQG78" s="262"/>
      <c r="PQH78" s="262"/>
      <c r="PQI78" s="262"/>
      <c r="PQJ78" s="262"/>
      <c r="PQK78" s="262"/>
      <c r="PQL78" s="262"/>
      <c r="PQM78" s="262"/>
      <c r="PQN78" s="262"/>
      <c r="PQO78" s="262"/>
      <c r="PQP78" s="262"/>
      <c r="PQQ78" s="262"/>
      <c r="PQR78" s="262"/>
      <c r="PQS78" s="262"/>
      <c r="PQT78" s="262"/>
      <c r="PQU78" s="262"/>
      <c r="PQV78" s="262"/>
      <c r="PQW78" s="262"/>
      <c r="PQX78" s="262"/>
      <c r="PQY78" s="262"/>
      <c r="PQZ78" s="262"/>
      <c r="PRA78" s="262"/>
      <c r="PRB78" s="262"/>
      <c r="PRC78" s="262"/>
      <c r="PRD78" s="262"/>
      <c r="PRE78" s="262"/>
      <c r="PRF78" s="262"/>
      <c r="PRG78" s="262"/>
      <c r="PRH78" s="262"/>
      <c r="PRI78" s="262"/>
      <c r="PRJ78" s="262"/>
      <c r="PRK78" s="262"/>
      <c r="PRL78" s="262"/>
      <c r="PRM78" s="262"/>
      <c r="PRN78" s="262"/>
      <c r="PRO78" s="262"/>
      <c r="PRP78" s="262"/>
      <c r="PRQ78" s="262"/>
      <c r="PRR78" s="262"/>
      <c r="PRS78" s="262"/>
      <c r="PRT78" s="262"/>
      <c r="PRU78" s="262"/>
      <c r="PRV78" s="262"/>
      <c r="PRW78" s="262"/>
      <c r="PRX78" s="262"/>
      <c r="PRY78" s="262"/>
      <c r="PRZ78" s="262"/>
      <c r="PSA78" s="262"/>
      <c r="PSB78" s="262"/>
      <c r="PSC78" s="262"/>
      <c r="PSD78" s="262"/>
      <c r="PSE78" s="262"/>
      <c r="PSF78" s="262"/>
      <c r="PSG78" s="262"/>
      <c r="PSH78" s="262"/>
      <c r="PSI78" s="262"/>
      <c r="PSJ78" s="262"/>
      <c r="PSK78" s="262"/>
      <c r="PSL78" s="262"/>
      <c r="PSM78" s="262"/>
      <c r="PSN78" s="262"/>
      <c r="PSO78" s="262"/>
      <c r="PSP78" s="262"/>
      <c r="PSQ78" s="262"/>
      <c r="PSR78" s="262"/>
      <c r="PSS78" s="262"/>
      <c r="PST78" s="262"/>
      <c r="PSU78" s="262"/>
      <c r="PSV78" s="262"/>
      <c r="PSW78" s="262"/>
      <c r="PSX78" s="262"/>
      <c r="PSY78" s="262"/>
      <c r="PSZ78" s="262"/>
      <c r="PTA78" s="262"/>
      <c r="PTB78" s="262"/>
      <c r="PTC78" s="262"/>
      <c r="PTD78" s="262"/>
      <c r="PTE78" s="262"/>
      <c r="PTF78" s="262"/>
      <c r="PTG78" s="262"/>
      <c r="PTH78" s="262"/>
      <c r="PTI78" s="262"/>
      <c r="PTJ78" s="262"/>
      <c r="PTK78" s="262"/>
      <c r="PTL78" s="262"/>
      <c r="PTM78" s="262"/>
      <c r="PTN78" s="262"/>
      <c r="PTO78" s="262"/>
      <c r="PTP78" s="262"/>
      <c r="PTQ78" s="262"/>
      <c r="PTR78" s="262"/>
      <c r="PTS78" s="262"/>
      <c r="PTT78" s="262"/>
      <c r="PTU78" s="262"/>
      <c r="PTV78" s="262"/>
      <c r="PTW78" s="262"/>
      <c r="PTX78" s="262"/>
      <c r="PTY78" s="262"/>
      <c r="PTZ78" s="262"/>
      <c r="PUA78" s="262"/>
      <c r="PUB78" s="262"/>
      <c r="PUC78" s="262"/>
      <c r="PUD78" s="262"/>
      <c r="PUE78" s="262"/>
      <c r="PUF78" s="262"/>
      <c r="PUG78" s="262"/>
      <c r="PUH78" s="262"/>
      <c r="PUI78" s="262"/>
      <c r="PUJ78" s="262"/>
      <c r="PUK78" s="262"/>
      <c r="PUL78" s="262"/>
      <c r="PUM78" s="262"/>
      <c r="PUN78" s="262"/>
      <c r="PUO78" s="262"/>
      <c r="PUP78" s="262"/>
      <c r="PUQ78" s="262"/>
      <c r="PUR78" s="262"/>
      <c r="PUS78" s="262"/>
      <c r="PUT78" s="262"/>
      <c r="PUU78" s="262"/>
      <c r="PUV78" s="262"/>
      <c r="PUW78" s="262"/>
      <c r="PUX78" s="262"/>
      <c r="PUY78" s="262"/>
      <c r="PUZ78" s="262"/>
      <c r="PVA78" s="262"/>
      <c r="PVB78" s="262"/>
      <c r="PVC78" s="262"/>
      <c r="PVD78" s="262"/>
      <c r="PVE78" s="262"/>
      <c r="PVF78" s="262"/>
      <c r="PVG78" s="262"/>
      <c r="PVH78" s="262"/>
      <c r="PVI78" s="262"/>
      <c r="PVJ78" s="262"/>
      <c r="PVK78" s="262"/>
      <c r="PVL78" s="262"/>
      <c r="PVM78" s="262"/>
      <c r="PVN78" s="262"/>
      <c r="PVO78" s="262"/>
      <c r="PVP78" s="262"/>
      <c r="PVQ78" s="262"/>
      <c r="PVR78" s="262"/>
      <c r="PVS78" s="262"/>
      <c r="PVT78" s="262"/>
      <c r="PVU78" s="262"/>
      <c r="PVV78" s="262"/>
      <c r="PVW78" s="262"/>
      <c r="PVX78" s="262"/>
      <c r="PVY78" s="262"/>
      <c r="PVZ78" s="262"/>
      <c r="PWA78" s="262"/>
      <c r="PWB78" s="262"/>
      <c r="PWC78" s="262"/>
      <c r="PWD78" s="262"/>
      <c r="PWE78" s="262"/>
      <c r="PWF78" s="262"/>
      <c r="PWG78" s="262"/>
      <c r="PWH78" s="262"/>
      <c r="PWI78" s="262"/>
      <c r="PWJ78" s="262"/>
      <c r="PWK78" s="262"/>
      <c r="PWL78" s="262"/>
      <c r="PWM78" s="262"/>
      <c r="PWN78" s="262"/>
      <c r="PWO78" s="262"/>
      <c r="PWP78" s="262"/>
      <c r="PWQ78" s="262"/>
      <c r="PWR78" s="262"/>
      <c r="PWS78" s="262"/>
      <c r="PWT78" s="262"/>
      <c r="PWU78" s="262"/>
      <c r="PWV78" s="262"/>
      <c r="PWW78" s="262"/>
      <c r="PWX78" s="262"/>
      <c r="PWY78" s="262"/>
      <c r="PWZ78" s="262"/>
      <c r="PXA78" s="262"/>
      <c r="PXB78" s="262"/>
      <c r="PXC78" s="262"/>
      <c r="PXD78" s="262"/>
      <c r="PXE78" s="262"/>
      <c r="PXF78" s="262"/>
      <c r="PXG78" s="262"/>
      <c r="PXH78" s="262"/>
      <c r="PXI78" s="262"/>
      <c r="PXJ78" s="262"/>
      <c r="PXK78" s="262"/>
      <c r="PXL78" s="262"/>
      <c r="PXM78" s="262"/>
      <c r="PXN78" s="262"/>
      <c r="PXO78" s="262"/>
      <c r="PXP78" s="262"/>
      <c r="PXQ78" s="262"/>
      <c r="PXR78" s="262"/>
      <c r="PXS78" s="262"/>
      <c r="PXT78" s="262"/>
      <c r="PXU78" s="262"/>
      <c r="PXV78" s="262"/>
      <c r="PXW78" s="262"/>
      <c r="PXX78" s="262"/>
      <c r="PXY78" s="262"/>
      <c r="PXZ78" s="262"/>
      <c r="PYA78" s="262"/>
      <c r="PYB78" s="262"/>
      <c r="PYC78" s="262"/>
      <c r="PYD78" s="262"/>
      <c r="PYE78" s="262"/>
      <c r="PYF78" s="262"/>
      <c r="PYG78" s="262"/>
      <c r="PYH78" s="262"/>
      <c r="PYI78" s="262"/>
      <c r="PYJ78" s="262"/>
      <c r="PYK78" s="262"/>
      <c r="PYL78" s="262"/>
      <c r="PYM78" s="262"/>
      <c r="PYN78" s="262"/>
      <c r="PYO78" s="262"/>
      <c r="PYP78" s="262"/>
      <c r="PYQ78" s="262"/>
      <c r="PYR78" s="262"/>
      <c r="PYS78" s="262"/>
      <c r="PYT78" s="262"/>
      <c r="PYU78" s="262"/>
      <c r="PYV78" s="262"/>
      <c r="PYW78" s="262"/>
      <c r="PYX78" s="262"/>
      <c r="PYY78" s="262"/>
      <c r="PYZ78" s="262"/>
      <c r="PZA78" s="262"/>
      <c r="PZB78" s="262"/>
      <c r="PZC78" s="262"/>
      <c r="PZD78" s="262"/>
      <c r="PZE78" s="262"/>
      <c r="PZF78" s="262"/>
      <c r="PZG78" s="262"/>
      <c r="PZH78" s="262"/>
      <c r="PZI78" s="262"/>
      <c r="PZJ78" s="262"/>
      <c r="PZK78" s="262"/>
      <c r="PZL78" s="262"/>
      <c r="PZM78" s="262"/>
      <c r="PZN78" s="262"/>
      <c r="PZO78" s="262"/>
      <c r="PZP78" s="262"/>
      <c r="PZQ78" s="262"/>
      <c r="PZR78" s="262"/>
      <c r="PZS78" s="262"/>
      <c r="PZT78" s="262"/>
      <c r="PZU78" s="262"/>
      <c r="PZV78" s="262"/>
      <c r="PZW78" s="262"/>
      <c r="PZX78" s="262"/>
      <c r="PZY78" s="262"/>
      <c r="PZZ78" s="262"/>
      <c r="QAA78" s="262"/>
      <c r="QAB78" s="262"/>
      <c r="QAC78" s="262"/>
      <c r="QAD78" s="262"/>
      <c r="QAE78" s="262"/>
      <c r="QAF78" s="262"/>
      <c r="QAG78" s="262"/>
      <c r="QAH78" s="262"/>
      <c r="QAI78" s="262"/>
      <c r="QAJ78" s="262"/>
      <c r="QAK78" s="262"/>
      <c r="QAL78" s="262"/>
      <c r="QAM78" s="262"/>
      <c r="QAN78" s="262"/>
      <c r="QAO78" s="262"/>
      <c r="QAP78" s="262"/>
      <c r="QAQ78" s="262"/>
      <c r="QAR78" s="262"/>
      <c r="QAS78" s="262"/>
      <c r="QAT78" s="262"/>
      <c r="QAU78" s="262"/>
      <c r="QAV78" s="262"/>
      <c r="QAW78" s="262"/>
      <c r="QAX78" s="262"/>
      <c r="QAY78" s="262"/>
      <c r="QAZ78" s="262"/>
      <c r="QBA78" s="262"/>
      <c r="QBB78" s="262"/>
      <c r="QBC78" s="262"/>
      <c r="QBD78" s="262"/>
      <c r="QBE78" s="262"/>
      <c r="QBF78" s="262"/>
      <c r="QBG78" s="262"/>
      <c r="QBH78" s="262"/>
      <c r="QBI78" s="262"/>
      <c r="QBJ78" s="262"/>
      <c r="QBK78" s="262"/>
      <c r="QBL78" s="262"/>
      <c r="QBM78" s="262"/>
      <c r="QBN78" s="262"/>
      <c r="QBO78" s="262"/>
      <c r="QBP78" s="262"/>
      <c r="QBQ78" s="262"/>
      <c r="QBR78" s="262"/>
      <c r="QBS78" s="262"/>
      <c r="QBT78" s="262"/>
      <c r="QBU78" s="262"/>
      <c r="QBV78" s="262"/>
      <c r="QBW78" s="262"/>
      <c r="QBX78" s="262"/>
      <c r="QBY78" s="262"/>
      <c r="QBZ78" s="262"/>
      <c r="QCA78" s="262"/>
      <c r="QCB78" s="262"/>
      <c r="QCC78" s="262"/>
      <c r="QCD78" s="262"/>
      <c r="QCE78" s="262"/>
      <c r="QCF78" s="262"/>
      <c r="QCG78" s="262"/>
      <c r="QCH78" s="262"/>
      <c r="QCI78" s="262"/>
      <c r="QCJ78" s="262"/>
      <c r="QCK78" s="262"/>
      <c r="QCL78" s="262"/>
      <c r="QCM78" s="262"/>
      <c r="QCN78" s="262"/>
      <c r="QCO78" s="262"/>
      <c r="QCP78" s="262"/>
      <c r="QCQ78" s="262"/>
      <c r="QCR78" s="262"/>
      <c r="QCS78" s="262"/>
      <c r="QCT78" s="262"/>
      <c r="QCU78" s="262"/>
      <c r="QCV78" s="262"/>
      <c r="QCW78" s="262"/>
      <c r="QCX78" s="262"/>
      <c r="QCY78" s="262"/>
      <c r="QCZ78" s="262"/>
      <c r="QDA78" s="262"/>
      <c r="QDB78" s="262"/>
      <c r="QDC78" s="262"/>
      <c r="QDD78" s="262"/>
      <c r="QDE78" s="262"/>
      <c r="QDF78" s="262"/>
      <c r="QDG78" s="262"/>
      <c r="QDH78" s="262"/>
      <c r="QDI78" s="262"/>
      <c r="QDJ78" s="262"/>
      <c r="QDK78" s="262"/>
      <c r="QDL78" s="262"/>
      <c r="QDM78" s="262"/>
      <c r="QDN78" s="262"/>
      <c r="QDO78" s="262"/>
      <c r="QDP78" s="262"/>
      <c r="QDQ78" s="262"/>
      <c r="QDR78" s="262"/>
      <c r="QDS78" s="262"/>
      <c r="QDT78" s="262"/>
      <c r="QDU78" s="262"/>
      <c r="QDV78" s="262"/>
      <c r="QDW78" s="262"/>
      <c r="QDX78" s="262"/>
      <c r="QDY78" s="262"/>
      <c r="QDZ78" s="262"/>
      <c r="QEA78" s="262"/>
      <c r="QEB78" s="262"/>
      <c r="QEC78" s="262"/>
      <c r="QED78" s="262"/>
      <c r="QEE78" s="262"/>
      <c r="QEF78" s="262"/>
      <c r="QEG78" s="262"/>
      <c r="QEH78" s="262"/>
      <c r="QEI78" s="262"/>
      <c r="QEJ78" s="262"/>
      <c r="QEK78" s="262"/>
      <c r="QEL78" s="262"/>
      <c r="QEM78" s="262"/>
      <c r="QEN78" s="262"/>
      <c r="QEO78" s="262"/>
      <c r="QEP78" s="262"/>
      <c r="QEQ78" s="262"/>
      <c r="QER78" s="262"/>
      <c r="QES78" s="262"/>
      <c r="QET78" s="262"/>
      <c r="QEU78" s="262"/>
      <c r="QEV78" s="262"/>
      <c r="QEW78" s="262"/>
      <c r="QEX78" s="262"/>
      <c r="QEY78" s="262"/>
      <c r="QEZ78" s="262"/>
      <c r="QFA78" s="262"/>
      <c r="QFB78" s="262"/>
      <c r="QFC78" s="262"/>
      <c r="QFD78" s="262"/>
      <c r="QFE78" s="262"/>
      <c r="QFF78" s="262"/>
      <c r="QFG78" s="262"/>
      <c r="QFH78" s="262"/>
      <c r="QFI78" s="262"/>
      <c r="QFJ78" s="262"/>
      <c r="QFK78" s="262"/>
      <c r="QFL78" s="262"/>
      <c r="QFM78" s="262"/>
      <c r="QFN78" s="262"/>
      <c r="QFO78" s="262"/>
      <c r="QFP78" s="262"/>
      <c r="QFQ78" s="262"/>
      <c r="QFR78" s="262"/>
      <c r="QFS78" s="262"/>
      <c r="QFT78" s="262"/>
      <c r="QFU78" s="262"/>
      <c r="QFV78" s="262"/>
      <c r="QFW78" s="262"/>
      <c r="QFX78" s="262"/>
      <c r="QFY78" s="262"/>
      <c r="QFZ78" s="262"/>
      <c r="QGA78" s="262"/>
      <c r="QGB78" s="262"/>
      <c r="QGC78" s="262"/>
      <c r="QGD78" s="262"/>
      <c r="QGE78" s="262"/>
      <c r="QGF78" s="262"/>
      <c r="QGG78" s="262"/>
      <c r="QGH78" s="262"/>
      <c r="QGI78" s="262"/>
      <c r="QGJ78" s="262"/>
      <c r="QGK78" s="262"/>
      <c r="QGL78" s="262"/>
      <c r="QGM78" s="262"/>
      <c r="QGN78" s="262"/>
      <c r="QGO78" s="262"/>
      <c r="QGP78" s="262"/>
      <c r="QGQ78" s="262"/>
      <c r="QGR78" s="262"/>
      <c r="QGS78" s="262"/>
      <c r="QGT78" s="262"/>
      <c r="QGU78" s="262"/>
      <c r="QGV78" s="262"/>
      <c r="QGW78" s="262"/>
      <c r="QGX78" s="262"/>
      <c r="QGY78" s="262"/>
      <c r="QGZ78" s="262"/>
      <c r="QHA78" s="262"/>
      <c r="QHB78" s="262"/>
      <c r="QHC78" s="262"/>
      <c r="QHD78" s="262"/>
      <c r="QHE78" s="262"/>
      <c r="QHF78" s="262"/>
      <c r="QHG78" s="262"/>
      <c r="QHH78" s="262"/>
      <c r="QHI78" s="262"/>
      <c r="QHJ78" s="262"/>
      <c r="QHK78" s="262"/>
      <c r="QHL78" s="262"/>
      <c r="QHM78" s="262"/>
      <c r="QHN78" s="262"/>
      <c r="QHO78" s="262"/>
      <c r="QHP78" s="262"/>
      <c r="QHQ78" s="262"/>
      <c r="QHR78" s="262"/>
      <c r="QHS78" s="262"/>
      <c r="QHT78" s="262"/>
      <c r="QHU78" s="262"/>
      <c r="QHV78" s="262"/>
      <c r="QHW78" s="262"/>
      <c r="QHX78" s="262"/>
      <c r="QHY78" s="262"/>
      <c r="QHZ78" s="262"/>
      <c r="QIA78" s="262"/>
      <c r="QIB78" s="262"/>
      <c r="QIC78" s="262"/>
      <c r="QID78" s="262"/>
      <c r="QIE78" s="262"/>
      <c r="QIF78" s="262"/>
      <c r="QIG78" s="262"/>
      <c r="QIH78" s="262"/>
      <c r="QII78" s="262"/>
      <c r="QIJ78" s="262"/>
      <c r="QIK78" s="262"/>
      <c r="QIL78" s="262"/>
      <c r="QIM78" s="262"/>
      <c r="QIN78" s="262"/>
      <c r="QIO78" s="262"/>
      <c r="QIP78" s="262"/>
      <c r="QIQ78" s="262"/>
      <c r="QIR78" s="262"/>
      <c r="QIS78" s="262"/>
      <c r="QIT78" s="262"/>
      <c r="QIU78" s="262"/>
      <c r="QIV78" s="262"/>
      <c r="QIW78" s="262"/>
      <c r="QIX78" s="262"/>
      <c r="QIY78" s="262"/>
      <c r="QIZ78" s="262"/>
      <c r="QJA78" s="262"/>
      <c r="QJB78" s="262"/>
      <c r="QJC78" s="262"/>
      <c r="QJD78" s="262"/>
      <c r="QJE78" s="262"/>
      <c r="QJF78" s="262"/>
      <c r="QJG78" s="262"/>
      <c r="QJH78" s="262"/>
      <c r="QJI78" s="262"/>
      <c r="QJJ78" s="262"/>
      <c r="QJK78" s="262"/>
      <c r="QJL78" s="262"/>
      <c r="QJM78" s="262"/>
      <c r="QJN78" s="262"/>
      <c r="QJO78" s="262"/>
      <c r="QJP78" s="262"/>
      <c r="QJQ78" s="262"/>
      <c r="QJR78" s="262"/>
      <c r="QJS78" s="262"/>
      <c r="QJT78" s="262"/>
      <c r="QJU78" s="262"/>
      <c r="QJV78" s="262"/>
      <c r="QJW78" s="262"/>
      <c r="QJX78" s="262"/>
      <c r="QJY78" s="262"/>
      <c r="QJZ78" s="262"/>
      <c r="QKA78" s="262"/>
      <c r="QKB78" s="262"/>
      <c r="QKC78" s="262"/>
      <c r="QKD78" s="262"/>
      <c r="QKE78" s="262"/>
      <c r="QKF78" s="262"/>
      <c r="QKG78" s="262"/>
      <c r="QKH78" s="262"/>
      <c r="QKI78" s="262"/>
      <c r="QKJ78" s="262"/>
      <c r="QKK78" s="262"/>
      <c r="QKL78" s="262"/>
      <c r="QKM78" s="262"/>
      <c r="QKN78" s="262"/>
      <c r="QKO78" s="262"/>
      <c r="QKP78" s="262"/>
      <c r="QKQ78" s="262"/>
      <c r="QKR78" s="262"/>
      <c r="QKS78" s="262"/>
      <c r="QKT78" s="262"/>
      <c r="QKU78" s="262"/>
      <c r="QKV78" s="262"/>
      <c r="QKW78" s="262"/>
      <c r="QKX78" s="262"/>
      <c r="QKY78" s="262"/>
      <c r="QKZ78" s="262"/>
      <c r="QLA78" s="262"/>
      <c r="QLB78" s="262"/>
      <c r="QLC78" s="262"/>
      <c r="QLD78" s="262"/>
      <c r="QLE78" s="262"/>
      <c r="QLF78" s="262"/>
      <c r="QLG78" s="262"/>
      <c r="QLH78" s="262"/>
      <c r="QLI78" s="262"/>
      <c r="QLJ78" s="262"/>
      <c r="QLK78" s="262"/>
      <c r="QLL78" s="262"/>
      <c r="QLM78" s="262"/>
      <c r="QLN78" s="262"/>
      <c r="QLO78" s="262"/>
      <c r="QLP78" s="262"/>
      <c r="QLQ78" s="262"/>
      <c r="QLR78" s="262"/>
      <c r="QLS78" s="262"/>
      <c r="QLT78" s="262"/>
      <c r="QLU78" s="262"/>
      <c r="QLV78" s="262"/>
      <c r="QLW78" s="262"/>
      <c r="QLX78" s="262"/>
      <c r="QLY78" s="262"/>
      <c r="QLZ78" s="262"/>
      <c r="QMA78" s="262"/>
      <c r="QMB78" s="262"/>
      <c r="QMC78" s="262"/>
      <c r="QMD78" s="262"/>
      <c r="QME78" s="262"/>
      <c r="QMF78" s="262"/>
      <c r="QMG78" s="262"/>
      <c r="QMH78" s="262"/>
      <c r="QMI78" s="262"/>
      <c r="QMJ78" s="262"/>
      <c r="QMK78" s="262"/>
      <c r="QML78" s="262"/>
      <c r="QMM78" s="262"/>
      <c r="QMN78" s="262"/>
      <c r="QMO78" s="262"/>
      <c r="QMP78" s="262"/>
      <c r="QMQ78" s="262"/>
      <c r="QMR78" s="262"/>
      <c r="QMS78" s="262"/>
      <c r="QMT78" s="262"/>
      <c r="QMU78" s="262"/>
      <c r="QMV78" s="262"/>
      <c r="QMW78" s="262"/>
      <c r="QMX78" s="262"/>
      <c r="QMY78" s="262"/>
      <c r="QMZ78" s="262"/>
      <c r="QNA78" s="262"/>
      <c r="QNB78" s="262"/>
      <c r="QNC78" s="262"/>
      <c r="QND78" s="262"/>
      <c r="QNE78" s="262"/>
      <c r="QNF78" s="262"/>
      <c r="QNG78" s="262"/>
      <c r="QNH78" s="262"/>
      <c r="QNI78" s="262"/>
      <c r="QNJ78" s="262"/>
      <c r="QNK78" s="262"/>
      <c r="QNL78" s="262"/>
      <c r="QNM78" s="262"/>
      <c r="QNN78" s="262"/>
      <c r="QNO78" s="262"/>
      <c r="QNP78" s="262"/>
      <c r="QNQ78" s="262"/>
      <c r="QNR78" s="262"/>
      <c r="QNS78" s="262"/>
      <c r="QNT78" s="262"/>
      <c r="QNU78" s="262"/>
      <c r="QNV78" s="262"/>
      <c r="QNW78" s="262"/>
      <c r="QNX78" s="262"/>
      <c r="QNY78" s="262"/>
      <c r="QNZ78" s="262"/>
      <c r="QOA78" s="262"/>
      <c r="QOB78" s="262"/>
      <c r="QOC78" s="262"/>
      <c r="QOD78" s="262"/>
      <c r="QOE78" s="262"/>
      <c r="QOF78" s="262"/>
      <c r="QOG78" s="262"/>
      <c r="QOH78" s="262"/>
      <c r="QOI78" s="262"/>
      <c r="QOJ78" s="262"/>
      <c r="QOK78" s="262"/>
      <c r="QOL78" s="262"/>
      <c r="QOM78" s="262"/>
      <c r="QON78" s="262"/>
      <c r="QOO78" s="262"/>
      <c r="QOP78" s="262"/>
      <c r="QOQ78" s="262"/>
      <c r="QOR78" s="262"/>
      <c r="QOS78" s="262"/>
      <c r="QOT78" s="262"/>
      <c r="QOU78" s="262"/>
      <c r="QOV78" s="262"/>
      <c r="QOW78" s="262"/>
      <c r="QOX78" s="262"/>
      <c r="QOY78" s="262"/>
      <c r="QOZ78" s="262"/>
      <c r="QPA78" s="262"/>
      <c r="QPB78" s="262"/>
      <c r="QPC78" s="262"/>
      <c r="QPD78" s="262"/>
      <c r="QPE78" s="262"/>
      <c r="QPF78" s="262"/>
      <c r="QPG78" s="262"/>
      <c r="QPH78" s="262"/>
      <c r="QPI78" s="262"/>
      <c r="QPJ78" s="262"/>
      <c r="QPK78" s="262"/>
      <c r="QPL78" s="262"/>
      <c r="QPM78" s="262"/>
      <c r="QPN78" s="262"/>
      <c r="QPO78" s="262"/>
      <c r="QPP78" s="262"/>
      <c r="QPQ78" s="262"/>
      <c r="QPR78" s="262"/>
      <c r="QPS78" s="262"/>
      <c r="QPT78" s="262"/>
      <c r="QPU78" s="262"/>
      <c r="QPV78" s="262"/>
      <c r="QPW78" s="262"/>
      <c r="QPX78" s="262"/>
      <c r="QPY78" s="262"/>
      <c r="QPZ78" s="262"/>
      <c r="QQA78" s="262"/>
      <c r="QQB78" s="262"/>
      <c r="QQC78" s="262"/>
      <c r="QQD78" s="262"/>
      <c r="QQE78" s="262"/>
      <c r="QQF78" s="262"/>
      <c r="QQG78" s="262"/>
      <c r="QQH78" s="262"/>
      <c r="QQI78" s="262"/>
      <c r="QQJ78" s="262"/>
      <c r="QQK78" s="262"/>
      <c r="QQL78" s="262"/>
      <c r="QQM78" s="262"/>
      <c r="QQN78" s="262"/>
      <c r="QQO78" s="262"/>
      <c r="QQP78" s="262"/>
      <c r="QQQ78" s="262"/>
      <c r="QQR78" s="262"/>
      <c r="QQS78" s="262"/>
      <c r="QQT78" s="262"/>
      <c r="QQU78" s="262"/>
      <c r="QQV78" s="262"/>
      <c r="QQW78" s="262"/>
      <c r="QQX78" s="262"/>
      <c r="QQY78" s="262"/>
      <c r="QQZ78" s="262"/>
      <c r="QRA78" s="262"/>
      <c r="QRB78" s="262"/>
      <c r="QRC78" s="262"/>
      <c r="QRD78" s="262"/>
      <c r="QRE78" s="262"/>
      <c r="QRF78" s="262"/>
      <c r="QRG78" s="262"/>
      <c r="QRH78" s="262"/>
      <c r="QRI78" s="262"/>
      <c r="QRJ78" s="262"/>
      <c r="QRK78" s="262"/>
      <c r="QRL78" s="262"/>
      <c r="QRM78" s="262"/>
      <c r="QRN78" s="262"/>
      <c r="QRO78" s="262"/>
      <c r="QRP78" s="262"/>
      <c r="QRQ78" s="262"/>
      <c r="QRR78" s="262"/>
      <c r="QRS78" s="262"/>
      <c r="QRT78" s="262"/>
      <c r="QRU78" s="262"/>
      <c r="QRV78" s="262"/>
      <c r="QRW78" s="262"/>
      <c r="QRX78" s="262"/>
      <c r="QRY78" s="262"/>
      <c r="QRZ78" s="262"/>
      <c r="QSA78" s="262"/>
      <c r="QSB78" s="262"/>
      <c r="QSC78" s="262"/>
      <c r="QSD78" s="262"/>
      <c r="QSE78" s="262"/>
      <c r="QSF78" s="262"/>
      <c r="QSG78" s="262"/>
      <c r="QSH78" s="262"/>
      <c r="QSI78" s="262"/>
      <c r="QSJ78" s="262"/>
      <c r="QSK78" s="262"/>
      <c r="QSL78" s="262"/>
      <c r="QSM78" s="262"/>
      <c r="QSN78" s="262"/>
      <c r="QSO78" s="262"/>
      <c r="QSP78" s="262"/>
      <c r="QSQ78" s="262"/>
      <c r="QSR78" s="262"/>
      <c r="QSS78" s="262"/>
      <c r="QST78" s="262"/>
      <c r="QSU78" s="262"/>
      <c r="QSV78" s="262"/>
      <c r="QSW78" s="262"/>
      <c r="QSX78" s="262"/>
      <c r="QSY78" s="262"/>
      <c r="QSZ78" s="262"/>
      <c r="QTA78" s="262"/>
      <c r="QTB78" s="262"/>
      <c r="QTC78" s="262"/>
      <c r="QTD78" s="262"/>
      <c r="QTE78" s="262"/>
      <c r="QTF78" s="262"/>
      <c r="QTG78" s="262"/>
      <c r="QTH78" s="262"/>
      <c r="QTI78" s="262"/>
      <c r="QTJ78" s="262"/>
      <c r="QTK78" s="262"/>
      <c r="QTL78" s="262"/>
      <c r="QTM78" s="262"/>
      <c r="QTN78" s="262"/>
      <c r="QTO78" s="262"/>
      <c r="QTP78" s="262"/>
      <c r="QTQ78" s="262"/>
      <c r="QTR78" s="262"/>
      <c r="QTS78" s="262"/>
      <c r="QTT78" s="262"/>
      <c r="QTU78" s="262"/>
      <c r="QTV78" s="262"/>
      <c r="QTW78" s="262"/>
      <c r="QTX78" s="262"/>
      <c r="QTY78" s="262"/>
      <c r="QTZ78" s="262"/>
      <c r="QUA78" s="262"/>
      <c r="QUB78" s="262"/>
      <c r="QUC78" s="262"/>
      <c r="QUD78" s="262"/>
      <c r="QUE78" s="262"/>
      <c r="QUF78" s="262"/>
      <c r="QUG78" s="262"/>
      <c r="QUH78" s="262"/>
      <c r="QUI78" s="262"/>
      <c r="QUJ78" s="262"/>
      <c r="QUK78" s="262"/>
      <c r="QUL78" s="262"/>
      <c r="QUM78" s="262"/>
      <c r="QUN78" s="262"/>
      <c r="QUO78" s="262"/>
      <c r="QUP78" s="262"/>
      <c r="QUQ78" s="262"/>
      <c r="QUR78" s="262"/>
      <c r="QUS78" s="262"/>
      <c r="QUT78" s="262"/>
      <c r="QUU78" s="262"/>
      <c r="QUV78" s="262"/>
      <c r="QUW78" s="262"/>
      <c r="QUX78" s="262"/>
      <c r="QUY78" s="262"/>
      <c r="QUZ78" s="262"/>
      <c r="QVA78" s="262"/>
      <c r="QVB78" s="262"/>
      <c r="QVC78" s="262"/>
      <c r="QVD78" s="262"/>
      <c r="QVE78" s="262"/>
      <c r="QVF78" s="262"/>
      <c r="QVG78" s="262"/>
      <c r="QVH78" s="262"/>
      <c r="QVI78" s="262"/>
      <c r="QVJ78" s="262"/>
      <c r="QVK78" s="262"/>
      <c r="QVL78" s="262"/>
      <c r="QVM78" s="262"/>
      <c r="QVN78" s="262"/>
      <c r="QVO78" s="262"/>
      <c r="QVP78" s="262"/>
      <c r="QVQ78" s="262"/>
      <c r="QVR78" s="262"/>
      <c r="QVS78" s="262"/>
      <c r="QVT78" s="262"/>
      <c r="QVU78" s="262"/>
      <c r="QVV78" s="262"/>
      <c r="QVW78" s="262"/>
      <c r="QVX78" s="262"/>
      <c r="QVY78" s="262"/>
      <c r="QVZ78" s="262"/>
      <c r="QWA78" s="262"/>
      <c r="QWB78" s="262"/>
      <c r="QWC78" s="262"/>
      <c r="QWD78" s="262"/>
      <c r="QWE78" s="262"/>
      <c r="QWF78" s="262"/>
      <c r="QWG78" s="262"/>
      <c r="QWH78" s="262"/>
      <c r="QWI78" s="262"/>
      <c r="QWJ78" s="262"/>
      <c r="QWK78" s="262"/>
      <c r="QWL78" s="262"/>
      <c r="QWM78" s="262"/>
      <c r="QWN78" s="262"/>
      <c r="QWO78" s="262"/>
      <c r="QWP78" s="262"/>
      <c r="QWQ78" s="262"/>
      <c r="QWR78" s="262"/>
      <c r="QWS78" s="262"/>
      <c r="QWT78" s="262"/>
      <c r="QWU78" s="262"/>
      <c r="QWV78" s="262"/>
      <c r="QWW78" s="262"/>
      <c r="QWX78" s="262"/>
      <c r="QWY78" s="262"/>
      <c r="QWZ78" s="262"/>
      <c r="QXA78" s="262"/>
      <c r="QXB78" s="262"/>
      <c r="QXC78" s="262"/>
      <c r="QXD78" s="262"/>
      <c r="QXE78" s="262"/>
      <c r="QXF78" s="262"/>
      <c r="QXG78" s="262"/>
      <c r="QXH78" s="262"/>
      <c r="QXI78" s="262"/>
      <c r="QXJ78" s="262"/>
      <c r="QXK78" s="262"/>
      <c r="QXL78" s="262"/>
      <c r="QXM78" s="262"/>
      <c r="QXN78" s="262"/>
      <c r="QXO78" s="262"/>
      <c r="QXP78" s="262"/>
      <c r="QXQ78" s="262"/>
      <c r="QXR78" s="262"/>
      <c r="QXS78" s="262"/>
      <c r="QXT78" s="262"/>
      <c r="QXU78" s="262"/>
      <c r="QXV78" s="262"/>
      <c r="QXW78" s="262"/>
      <c r="QXX78" s="262"/>
      <c r="QXY78" s="262"/>
      <c r="QXZ78" s="262"/>
      <c r="QYA78" s="262"/>
      <c r="QYB78" s="262"/>
      <c r="QYC78" s="262"/>
      <c r="QYD78" s="262"/>
      <c r="QYE78" s="262"/>
      <c r="QYF78" s="262"/>
      <c r="QYG78" s="262"/>
      <c r="QYH78" s="262"/>
      <c r="QYI78" s="262"/>
      <c r="QYJ78" s="262"/>
      <c r="QYK78" s="262"/>
      <c r="QYL78" s="262"/>
      <c r="QYM78" s="262"/>
      <c r="QYN78" s="262"/>
      <c r="QYO78" s="262"/>
      <c r="QYP78" s="262"/>
      <c r="QYQ78" s="262"/>
      <c r="QYR78" s="262"/>
      <c r="QYS78" s="262"/>
      <c r="QYT78" s="262"/>
      <c r="QYU78" s="262"/>
      <c r="QYV78" s="262"/>
      <c r="QYW78" s="262"/>
      <c r="QYX78" s="262"/>
      <c r="QYY78" s="262"/>
      <c r="QYZ78" s="262"/>
      <c r="QZA78" s="262"/>
      <c r="QZB78" s="262"/>
      <c r="QZC78" s="262"/>
      <c r="QZD78" s="262"/>
      <c r="QZE78" s="262"/>
      <c r="QZF78" s="262"/>
      <c r="QZG78" s="262"/>
      <c r="QZH78" s="262"/>
      <c r="QZI78" s="262"/>
      <c r="QZJ78" s="262"/>
      <c r="QZK78" s="262"/>
      <c r="QZL78" s="262"/>
      <c r="QZM78" s="262"/>
      <c r="QZN78" s="262"/>
      <c r="QZO78" s="262"/>
      <c r="QZP78" s="262"/>
      <c r="QZQ78" s="262"/>
      <c r="QZR78" s="262"/>
      <c r="QZS78" s="262"/>
      <c r="QZT78" s="262"/>
      <c r="QZU78" s="262"/>
      <c r="QZV78" s="262"/>
      <c r="QZW78" s="262"/>
      <c r="QZX78" s="262"/>
      <c r="QZY78" s="262"/>
      <c r="QZZ78" s="262"/>
      <c r="RAA78" s="262"/>
      <c r="RAB78" s="262"/>
      <c r="RAC78" s="262"/>
      <c r="RAD78" s="262"/>
      <c r="RAE78" s="262"/>
      <c r="RAF78" s="262"/>
      <c r="RAG78" s="262"/>
      <c r="RAH78" s="262"/>
      <c r="RAI78" s="262"/>
      <c r="RAJ78" s="262"/>
      <c r="RAK78" s="262"/>
      <c r="RAL78" s="262"/>
      <c r="RAM78" s="262"/>
      <c r="RAN78" s="262"/>
      <c r="RAO78" s="262"/>
      <c r="RAP78" s="262"/>
      <c r="RAQ78" s="262"/>
      <c r="RAR78" s="262"/>
      <c r="RAS78" s="262"/>
      <c r="RAT78" s="262"/>
      <c r="RAU78" s="262"/>
      <c r="RAV78" s="262"/>
      <c r="RAW78" s="262"/>
      <c r="RAX78" s="262"/>
      <c r="RAY78" s="262"/>
      <c r="RAZ78" s="262"/>
      <c r="RBA78" s="262"/>
      <c r="RBB78" s="262"/>
      <c r="RBC78" s="262"/>
      <c r="RBD78" s="262"/>
      <c r="RBE78" s="262"/>
      <c r="RBF78" s="262"/>
      <c r="RBG78" s="262"/>
      <c r="RBH78" s="262"/>
      <c r="RBI78" s="262"/>
      <c r="RBJ78" s="262"/>
      <c r="RBK78" s="262"/>
      <c r="RBL78" s="262"/>
      <c r="RBM78" s="262"/>
      <c r="RBN78" s="262"/>
      <c r="RBO78" s="262"/>
      <c r="RBP78" s="262"/>
      <c r="RBQ78" s="262"/>
      <c r="RBR78" s="262"/>
      <c r="RBS78" s="262"/>
      <c r="RBT78" s="262"/>
      <c r="RBU78" s="262"/>
      <c r="RBV78" s="262"/>
      <c r="RBW78" s="262"/>
      <c r="RBX78" s="262"/>
      <c r="RBY78" s="262"/>
      <c r="RBZ78" s="262"/>
      <c r="RCA78" s="262"/>
      <c r="RCB78" s="262"/>
      <c r="RCC78" s="262"/>
      <c r="RCD78" s="262"/>
      <c r="RCE78" s="262"/>
      <c r="RCF78" s="262"/>
      <c r="RCG78" s="262"/>
      <c r="RCH78" s="262"/>
      <c r="RCI78" s="262"/>
      <c r="RCJ78" s="262"/>
      <c r="RCK78" s="262"/>
      <c r="RCL78" s="262"/>
      <c r="RCM78" s="262"/>
      <c r="RCN78" s="262"/>
      <c r="RCO78" s="262"/>
      <c r="RCP78" s="262"/>
      <c r="RCQ78" s="262"/>
      <c r="RCR78" s="262"/>
      <c r="RCS78" s="262"/>
      <c r="RCT78" s="262"/>
      <c r="RCU78" s="262"/>
      <c r="RCV78" s="262"/>
      <c r="RCW78" s="262"/>
      <c r="RCX78" s="262"/>
      <c r="RCY78" s="262"/>
      <c r="RCZ78" s="262"/>
      <c r="RDA78" s="262"/>
      <c r="RDB78" s="262"/>
      <c r="RDC78" s="262"/>
      <c r="RDD78" s="262"/>
      <c r="RDE78" s="262"/>
      <c r="RDF78" s="262"/>
      <c r="RDG78" s="262"/>
      <c r="RDH78" s="262"/>
      <c r="RDI78" s="262"/>
      <c r="RDJ78" s="262"/>
      <c r="RDK78" s="262"/>
      <c r="RDL78" s="262"/>
      <c r="RDM78" s="262"/>
      <c r="RDN78" s="262"/>
      <c r="RDO78" s="262"/>
      <c r="RDP78" s="262"/>
      <c r="RDQ78" s="262"/>
      <c r="RDR78" s="262"/>
      <c r="RDS78" s="262"/>
      <c r="RDT78" s="262"/>
      <c r="RDU78" s="262"/>
      <c r="RDV78" s="262"/>
      <c r="RDW78" s="262"/>
      <c r="RDX78" s="262"/>
      <c r="RDY78" s="262"/>
      <c r="RDZ78" s="262"/>
      <c r="REA78" s="262"/>
      <c r="REB78" s="262"/>
      <c r="REC78" s="262"/>
      <c r="RED78" s="262"/>
      <c r="REE78" s="262"/>
      <c r="REF78" s="262"/>
      <c r="REG78" s="262"/>
      <c r="REH78" s="262"/>
      <c r="REI78" s="262"/>
      <c r="REJ78" s="262"/>
      <c r="REK78" s="262"/>
      <c r="REL78" s="262"/>
      <c r="REM78" s="262"/>
      <c r="REN78" s="262"/>
      <c r="REO78" s="262"/>
      <c r="REP78" s="262"/>
      <c r="REQ78" s="262"/>
      <c r="RER78" s="262"/>
      <c r="RES78" s="262"/>
      <c r="RET78" s="262"/>
      <c r="REU78" s="262"/>
      <c r="REV78" s="262"/>
      <c r="REW78" s="262"/>
      <c r="REX78" s="262"/>
      <c r="REY78" s="262"/>
      <c r="REZ78" s="262"/>
      <c r="RFA78" s="262"/>
      <c r="RFB78" s="262"/>
      <c r="RFC78" s="262"/>
      <c r="RFD78" s="262"/>
      <c r="RFE78" s="262"/>
      <c r="RFF78" s="262"/>
      <c r="RFG78" s="262"/>
      <c r="RFH78" s="262"/>
      <c r="RFI78" s="262"/>
      <c r="RFJ78" s="262"/>
      <c r="RFK78" s="262"/>
      <c r="RFL78" s="262"/>
      <c r="RFM78" s="262"/>
      <c r="RFN78" s="262"/>
      <c r="RFO78" s="262"/>
      <c r="RFP78" s="262"/>
      <c r="RFQ78" s="262"/>
      <c r="RFR78" s="262"/>
      <c r="RFS78" s="262"/>
      <c r="RFT78" s="262"/>
      <c r="RFU78" s="262"/>
      <c r="RFV78" s="262"/>
      <c r="RFW78" s="262"/>
      <c r="RFX78" s="262"/>
      <c r="RFY78" s="262"/>
      <c r="RFZ78" s="262"/>
      <c r="RGA78" s="262"/>
      <c r="RGB78" s="262"/>
      <c r="RGC78" s="262"/>
      <c r="RGD78" s="262"/>
      <c r="RGE78" s="262"/>
      <c r="RGF78" s="262"/>
      <c r="RGG78" s="262"/>
      <c r="RGH78" s="262"/>
      <c r="RGI78" s="262"/>
      <c r="RGJ78" s="262"/>
      <c r="RGK78" s="262"/>
      <c r="RGL78" s="262"/>
      <c r="RGM78" s="262"/>
      <c r="RGN78" s="262"/>
      <c r="RGO78" s="262"/>
      <c r="RGP78" s="262"/>
      <c r="RGQ78" s="262"/>
      <c r="RGR78" s="262"/>
      <c r="RGS78" s="262"/>
      <c r="RGT78" s="262"/>
      <c r="RGU78" s="262"/>
      <c r="RGV78" s="262"/>
      <c r="RGW78" s="262"/>
      <c r="RGX78" s="262"/>
      <c r="RGY78" s="262"/>
      <c r="RGZ78" s="262"/>
      <c r="RHA78" s="262"/>
      <c r="RHB78" s="262"/>
      <c r="RHC78" s="262"/>
      <c r="RHD78" s="262"/>
      <c r="RHE78" s="262"/>
      <c r="RHF78" s="262"/>
      <c r="RHG78" s="262"/>
      <c r="RHH78" s="262"/>
      <c r="RHI78" s="262"/>
      <c r="RHJ78" s="262"/>
      <c r="RHK78" s="262"/>
      <c r="RHL78" s="262"/>
      <c r="RHM78" s="262"/>
      <c r="RHN78" s="262"/>
      <c r="RHO78" s="262"/>
      <c r="RHP78" s="262"/>
      <c r="RHQ78" s="262"/>
      <c r="RHR78" s="262"/>
      <c r="RHS78" s="262"/>
      <c r="RHT78" s="262"/>
      <c r="RHU78" s="262"/>
      <c r="RHV78" s="262"/>
      <c r="RHW78" s="262"/>
      <c r="RHX78" s="262"/>
      <c r="RHY78" s="262"/>
      <c r="RHZ78" s="262"/>
      <c r="RIA78" s="262"/>
      <c r="RIB78" s="262"/>
      <c r="RIC78" s="262"/>
      <c r="RID78" s="262"/>
      <c r="RIE78" s="262"/>
      <c r="RIF78" s="262"/>
      <c r="RIG78" s="262"/>
      <c r="RIH78" s="262"/>
      <c r="RII78" s="262"/>
      <c r="RIJ78" s="262"/>
      <c r="RIK78" s="262"/>
      <c r="RIL78" s="262"/>
      <c r="RIM78" s="262"/>
      <c r="RIN78" s="262"/>
      <c r="RIO78" s="262"/>
      <c r="RIP78" s="262"/>
      <c r="RIQ78" s="262"/>
      <c r="RIR78" s="262"/>
      <c r="RIS78" s="262"/>
      <c r="RIT78" s="262"/>
      <c r="RIU78" s="262"/>
      <c r="RIV78" s="262"/>
      <c r="RIW78" s="262"/>
      <c r="RIX78" s="262"/>
      <c r="RIY78" s="262"/>
      <c r="RIZ78" s="262"/>
      <c r="RJA78" s="262"/>
      <c r="RJB78" s="262"/>
      <c r="RJC78" s="262"/>
      <c r="RJD78" s="262"/>
      <c r="RJE78" s="262"/>
      <c r="RJF78" s="262"/>
      <c r="RJG78" s="262"/>
      <c r="RJH78" s="262"/>
      <c r="RJI78" s="262"/>
      <c r="RJJ78" s="262"/>
      <c r="RJK78" s="262"/>
      <c r="RJL78" s="262"/>
      <c r="RJM78" s="262"/>
      <c r="RJN78" s="262"/>
      <c r="RJO78" s="262"/>
      <c r="RJP78" s="262"/>
      <c r="RJQ78" s="262"/>
      <c r="RJR78" s="262"/>
      <c r="RJS78" s="262"/>
      <c r="RJT78" s="262"/>
      <c r="RJU78" s="262"/>
      <c r="RJV78" s="262"/>
      <c r="RJW78" s="262"/>
      <c r="RJX78" s="262"/>
      <c r="RJY78" s="262"/>
      <c r="RJZ78" s="262"/>
      <c r="RKA78" s="262"/>
      <c r="RKB78" s="262"/>
      <c r="RKC78" s="262"/>
      <c r="RKD78" s="262"/>
      <c r="RKE78" s="262"/>
      <c r="RKF78" s="262"/>
      <c r="RKG78" s="262"/>
      <c r="RKH78" s="262"/>
      <c r="RKI78" s="262"/>
      <c r="RKJ78" s="262"/>
      <c r="RKK78" s="262"/>
      <c r="RKL78" s="262"/>
      <c r="RKM78" s="262"/>
      <c r="RKN78" s="262"/>
      <c r="RKO78" s="262"/>
      <c r="RKP78" s="262"/>
      <c r="RKQ78" s="262"/>
      <c r="RKR78" s="262"/>
      <c r="RKS78" s="262"/>
      <c r="RKT78" s="262"/>
      <c r="RKU78" s="262"/>
      <c r="RKV78" s="262"/>
      <c r="RKW78" s="262"/>
      <c r="RKX78" s="262"/>
      <c r="RKY78" s="262"/>
      <c r="RKZ78" s="262"/>
      <c r="RLA78" s="262"/>
      <c r="RLB78" s="262"/>
      <c r="RLC78" s="262"/>
      <c r="RLD78" s="262"/>
      <c r="RLE78" s="262"/>
      <c r="RLF78" s="262"/>
      <c r="RLG78" s="262"/>
      <c r="RLH78" s="262"/>
      <c r="RLI78" s="262"/>
      <c r="RLJ78" s="262"/>
      <c r="RLK78" s="262"/>
      <c r="RLL78" s="262"/>
      <c r="RLM78" s="262"/>
      <c r="RLN78" s="262"/>
      <c r="RLO78" s="262"/>
      <c r="RLP78" s="262"/>
      <c r="RLQ78" s="262"/>
      <c r="RLR78" s="262"/>
      <c r="RLS78" s="262"/>
      <c r="RLT78" s="262"/>
      <c r="RLU78" s="262"/>
      <c r="RLV78" s="262"/>
      <c r="RLW78" s="262"/>
      <c r="RLX78" s="262"/>
      <c r="RLY78" s="262"/>
      <c r="RLZ78" s="262"/>
      <c r="RMA78" s="262"/>
      <c r="RMB78" s="262"/>
      <c r="RMC78" s="262"/>
      <c r="RMD78" s="262"/>
      <c r="RME78" s="262"/>
      <c r="RMF78" s="262"/>
      <c r="RMG78" s="262"/>
      <c r="RMH78" s="262"/>
      <c r="RMI78" s="262"/>
      <c r="RMJ78" s="262"/>
      <c r="RMK78" s="262"/>
      <c r="RML78" s="262"/>
      <c r="RMM78" s="262"/>
      <c r="RMN78" s="262"/>
      <c r="RMO78" s="262"/>
      <c r="RMP78" s="262"/>
      <c r="RMQ78" s="262"/>
      <c r="RMR78" s="262"/>
      <c r="RMS78" s="262"/>
      <c r="RMT78" s="262"/>
      <c r="RMU78" s="262"/>
      <c r="RMV78" s="262"/>
      <c r="RMW78" s="262"/>
      <c r="RMX78" s="262"/>
      <c r="RMY78" s="262"/>
      <c r="RMZ78" s="262"/>
      <c r="RNA78" s="262"/>
      <c r="RNB78" s="262"/>
      <c r="RNC78" s="262"/>
      <c r="RND78" s="262"/>
      <c r="RNE78" s="262"/>
      <c r="RNF78" s="262"/>
      <c r="RNG78" s="262"/>
      <c r="RNH78" s="262"/>
      <c r="RNI78" s="262"/>
      <c r="RNJ78" s="262"/>
      <c r="RNK78" s="262"/>
      <c r="RNL78" s="262"/>
      <c r="RNM78" s="262"/>
      <c r="RNN78" s="262"/>
      <c r="RNO78" s="262"/>
      <c r="RNP78" s="262"/>
      <c r="RNQ78" s="262"/>
      <c r="RNR78" s="262"/>
      <c r="RNS78" s="262"/>
      <c r="RNT78" s="262"/>
      <c r="RNU78" s="262"/>
      <c r="RNV78" s="262"/>
      <c r="RNW78" s="262"/>
      <c r="RNX78" s="262"/>
      <c r="RNY78" s="262"/>
      <c r="RNZ78" s="262"/>
      <c r="ROA78" s="262"/>
      <c r="ROB78" s="262"/>
      <c r="ROC78" s="262"/>
      <c r="ROD78" s="262"/>
      <c r="ROE78" s="262"/>
      <c r="ROF78" s="262"/>
      <c r="ROG78" s="262"/>
      <c r="ROH78" s="262"/>
      <c r="ROI78" s="262"/>
      <c r="ROJ78" s="262"/>
      <c r="ROK78" s="262"/>
      <c r="ROL78" s="262"/>
      <c r="ROM78" s="262"/>
      <c r="RON78" s="262"/>
      <c r="ROO78" s="262"/>
      <c r="ROP78" s="262"/>
      <c r="ROQ78" s="262"/>
      <c r="ROR78" s="262"/>
      <c r="ROS78" s="262"/>
      <c r="ROT78" s="262"/>
      <c r="ROU78" s="262"/>
      <c r="ROV78" s="262"/>
      <c r="ROW78" s="262"/>
      <c r="ROX78" s="262"/>
      <c r="ROY78" s="262"/>
      <c r="ROZ78" s="262"/>
      <c r="RPA78" s="262"/>
      <c r="RPB78" s="262"/>
      <c r="RPC78" s="262"/>
      <c r="RPD78" s="262"/>
      <c r="RPE78" s="262"/>
      <c r="RPF78" s="262"/>
      <c r="RPG78" s="262"/>
      <c r="RPH78" s="262"/>
      <c r="RPI78" s="262"/>
      <c r="RPJ78" s="262"/>
      <c r="RPK78" s="262"/>
      <c r="RPL78" s="262"/>
      <c r="RPM78" s="262"/>
      <c r="RPN78" s="262"/>
      <c r="RPO78" s="262"/>
      <c r="RPP78" s="262"/>
      <c r="RPQ78" s="262"/>
      <c r="RPR78" s="262"/>
      <c r="RPS78" s="262"/>
      <c r="RPT78" s="262"/>
      <c r="RPU78" s="262"/>
      <c r="RPV78" s="262"/>
      <c r="RPW78" s="262"/>
      <c r="RPX78" s="262"/>
      <c r="RPY78" s="262"/>
      <c r="RPZ78" s="262"/>
      <c r="RQA78" s="262"/>
      <c r="RQB78" s="262"/>
      <c r="RQC78" s="262"/>
      <c r="RQD78" s="262"/>
      <c r="RQE78" s="262"/>
      <c r="RQF78" s="262"/>
      <c r="RQG78" s="262"/>
      <c r="RQH78" s="262"/>
      <c r="RQI78" s="262"/>
      <c r="RQJ78" s="262"/>
      <c r="RQK78" s="262"/>
      <c r="RQL78" s="262"/>
      <c r="RQM78" s="262"/>
      <c r="RQN78" s="262"/>
      <c r="RQO78" s="262"/>
      <c r="RQP78" s="262"/>
      <c r="RQQ78" s="262"/>
      <c r="RQR78" s="262"/>
      <c r="RQS78" s="262"/>
      <c r="RQT78" s="262"/>
      <c r="RQU78" s="262"/>
      <c r="RQV78" s="262"/>
      <c r="RQW78" s="262"/>
      <c r="RQX78" s="262"/>
      <c r="RQY78" s="262"/>
      <c r="RQZ78" s="262"/>
      <c r="RRA78" s="262"/>
      <c r="RRB78" s="262"/>
      <c r="RRC78" s="262"/>
      <c r="RRD78" s="262"/>
      <c r="RRE78" s="262"/>
      <c r="RRF78" s="262"/>
      <c r="RRG78" s="262"/>
      <c r="RRH78" s="262"/>
      <c r="RRI78" s="262"/>
      <c r="RRJ78" s="262"/>
      <c r="RRK78" s="262"/>
      <c r="RRL78" s="262"/>
      <c r="RRM78" s="262"/>
      <c r="RRN78" s="262"/>
      <c r="RRO78" s="262"/>
      <c r="RRP78" s="262"/>
      <c r="RRQ78" s="262"/>
      <c r="RRR78" s="262"/>
      <c r="RRS78" s="262"/>
      <c r="RRT78" s="262"/>
      <c r="RRU78" s="262"/>
      <c r="RRV78" s="262"/>
      <c r="RRW78" s="262"/>
      <c r="RRX78" s="262"/>
      <c r="RRY78" s="262"/>
      <c r="RRZ78" s="262"/>
      <c r="RSA78" s="262"/>
      <c r="RSB78" s="262"/>
      <c r="RSC78" s="262"/>
      <c r="RSD78" s="262"/>
      <c r="RSE78" s="262"/>
      <c r="RSF78" s="262"/>
      <c r="RSG78" s="262"/>
      <c r="RSH78" s="262"/>
      <c r="RSI78" s="262"/>
      <c r="RSJ78" s="262"/>
      <c r="RSK78" s="262"/>
      <c r="RSL78" s="262"/>
      <c r="RSM78" s="262"/>
      <c r="RSN78" s="262"/>
      <c r="RSO78" s="262"/>
      <c r="RSP78" s="262"/>
      <c r="RSQ78" s="262"/>
      <c r="RSR78" s="262"/>
      <c r="RSS78" s="262"/>
      <c r="RST78" s="262"/>
      <c r="RSU78" s="262"/>
      <c r="RSV78" s="262"/>
      <c r="RSW78" s="262"/>
      <c r="RSX78" s="262"/>
      <c r="RSY78" s="262"/>
      <c r="RSZ78" s="262"/>
      <c r="RTA78" s="262"/>
      <c r="RTB78" s="262"/>
      <c r="RTC78" s="262"/>
      <c r="RTD78" s="262"/>
      <c r="RTE78" s="262"/>
      <c r="RTF78" s="262"/>
      <c r="RTG78" s="262"/>
      <c r="RTH78" s="262"/>
      <c r="RTI78" s="262"/>
      <c r="RTJ78" s="262"/>
      <c r="RTK78" s="262"/>
      <c r="RTL78" s="262"/>
      <c r="RTM78" s="262"/>
      <c r="RTN78" s="262"/>
      <c r="RTO78" s="262"/>
      <c r="RTP78" s="262"/>
      <c r="RTQ78" s="262"/>
      <c r="RTR78" s="262"/>
      <c r="RTS78" s="262"/>
      <c r="RTT78" s="262"/>
      <c r="RTU78" s="262"/>
      <c r="RTV78" s="262"/>
      <c r="RTW78" s="262"/>
      <c r="RTX78" s="262"/>
      <c r="RTY78" s="262"/>
      <c r="RTZ78" s="262"/>
      <c r="RUA78" s="262"/>
      <c r="RUB78" s="262"/>
      <c r="RUC78" s="262"/>
      <c r="RUD78" s="262"/>
      <c r="RUE78" s="262"/>
      <c r="RUF78" s="262"/>
      <c r="RUG78" s="262"/>
      <c r="RUH78" s="262"/>
      <c r="RUI78" s="262"/>
      <c r="RUJ78" s="262"/>
      <c r="RUK78" s="262"/>
      <c r="RUL78" s="262"/>
      <c r="RUM78" s="262"/>
      <c r="RUN78" s="262"/>
      <c r="RUO78" s="262"/>
      <c r="RUP78" s="262"/>
      <c r="RUQ78" s="262"/>
      <c r="RUR78" s="262"/>
      <c r="RUS78" s="262"/>
      <c r="RUT78" s="262"/>
      <c r="RUU78" s="262"/>
      <c r="RUV78" s="262"/>
      <c r="RUW78" s="262"/>
      <c r="RUX78" s="262"/>
      <c r="RUY78" s="262"/>
      <c r="RUZ78" s="262"/>
      <c r="RVA78" s="262"/>
      <c r="RVB78" s="262"/>
      <c r="RVC78" s="262"/>
      <c r="RVD78" s="262"/>
      <c r="RVE78" s="262"/>
      <c r="RVF78" s="262"/>
      <c r="RVG78" s="262"/>
      <c r="RVH78" s="262"/>
      <c r="RVI78" s="262"/>
      <c r="RVJ78" s="262"/>
      <c r="RVK78" s="262"/>
      <c r="RVL78" s="262"/>
      <c r="RVM78" s="262"/>
      <c r="RVN78" s="262"/>
      <c r="RVO78" s="262"/>
      <c r="RVP78" s="262"/>
      <c r="RVQ78" s="262"/>
      <c r="RVR78" s="262"/>
      <c r="RVS78" s="262"/>
      <c r="RVT78" s="262"/>
      <c r="RVU78" s="262"/>
      <c r="RVV78" s="262"/>
      <c r="RVW78" s="262"/>
      <c r="RVX78" s="262"/>
      <c r="RVY78" s="262"/>
      <c r="RVZ78" s="262"/>
      <c r="RWA78" s="262"/>
      <c r="RWB78" s="262"/>
      <c r="RWC78" s="262"/>
      <c r="RWD78" s="262"/>
      <c r="RWE78" s="262"/>
      <c r="RWF78" s="262"/>
      <c r="RWG78" s="262"/>
      <c r="RWH78" s="262"/>
      <c r="RWI78" s="262"/>
      <c r="RWJ78" s="262"/>
      <c r="RWK78" s="262"/>
      <c r="RWL78" s="262"/>
      <c r="RWM78" s="262"/>
      <c r="RWN78" s="262"/>
      <c r="RWO78" s="262"/>
      <c r="RWP78" s="262"/>
      <c r="RWQ78" s="262"/>
      <c r="RWR78" s="262"/>
      <c r="RWS78" s="262"/>
      <c r="RWT78" s="262"/>
      <c r="RWU78" s="262"/>
      <c r="RWV78" s="262"/>
      <c r="RWW78" s="262"/>
      <c r="RWX78" s="262"/>
      <c r="RWY78" s="262"/>
      <c r="RWZ78" s="262"/>
      <c r="RXA78" s="262"/>
      <c r="RXB78" s="262"/>
      <c r="RXC78" s="262"/>
      <c r="RXD78" s="262"/>
      <c r="RXE78" s="262"/>
      <c r="RXF78" s="262"/>
      <c r="RXG78" s="262"/>
      <c r="RXH78" s="262"/>
      <c r="RXI78" s="262"/>
      <c r="RXJ78" s="262"/>
      <c r="RXK78" s="262"/>
      <c r="RXL78" s="262"/>
      <c r="RXM78" s="262"/>
      <c r="RXN78" s="262"/>
      <c r="RXO78" s="262"/>
      <c r="RXP78" s="262"/>
      <c r="RXQ78" s="262"/>
      <c r="RXR78" s="262"/>
      <c r="RXS78" s="262"/>
      <c r="RXT78" s="262"/>
      <c r="RXU78" s="262"/>
      <c r="RXV78" s="262"/>
      <c r="RXW78" s="262"/>
      <c r="RXX78" s="262"/>
      <c r="RXY78" s="262"/>
      <c r="RXZ78" s="262"/>
      <c r="RYA78" s="262"/>
      <c r="RYB78" s="262"/>
      <c r="RYC78" s="262"/>
      <c r="RYD78" s="262"/>
      <c r="RYE78" s="262"/>
      <c r="RYF78" s="262"/>
      <c r="RYG78" s="262"/>
      <c r="RYH78" s="262"/>
      <c r="RYI78" s="262"/>
      <c r="RYJ78" s="262"/>
      <c r="RYK78" s="262"/>
      <c r="RYL78" s="262"/>
      <c r="RYM78" s="262"/>
      <c r="RYN78" s="262"/>
      <c r="RYO78" s="262"/>
      <c r="RYP78" s="262"/>
      <c r="RYQ78" s="262"/>
      <c r="RYR78" s="262"/>
      <c r="RYS78" s="262"/>
      <c r="RYT78" s="262"/>
      <c r="RYU78" s="262"/>
      <c r="RYV78" s="262"/>
      <c r="RYW78" s="262"/>
      <c r="RYX78" s="262"/>
      <c r="RYY78" s="262"/>
      <c r="RYZ78" s="262"/>
      <c r="RZA78" s="262"/>
      <c r="RZB78" s="262"/>
      <c r="RZC78" s="262"/>
      <c r="RZD78" s="262"/>
      <c r="RZE78" s="262"/>
      <c r="RZF78" s="262"/>
      <c r="RZG78" s="262"/>
      <c r="RZH78" s="262"/>
      <c r="RZI78" s="262"/>
      <c r="RZJ78" s="262"/>
      <c r="RZK78" s="262"/>
      <c r="RZL78" s="262"/>
      <c r="RZM78" s="262"/>
      <c r="RZN78" s="262"/>
      <c r="RZO78" s="262"/>
      <c r="RZP78" s="262"/>
      <c r="RZQ78" s="262"/>
      <c r="RZR78" s="262"/>
      <c r="RZS78" s="262"/>
      <c r="RZT78" s="262"/>
      <c r="RZU78" s="262"/>
      <c r="RZV78" s="262"/>
      <c r="RZW78" s="262"/>
      <c r="RZX78" s="262"/>
      <c r="RZY78" s="262"/>
      <c r="RZZ78" s="262"/>
      <c r="SAA78" s="262"/>
      <c r="SAB78" s="262"/>
      <c r="SAC78" s="262"/>
      <c r="SAD78" s="262"/>
      <c r="SAE78" s="262"/>
      <c r="SAF78" s="262"/>
      <c r="SAG78" s="262"/>
      <c r="SAH78" s="262"/>
      <c r="SAI78" s="262"/>
      <c r="SAJ78" s="262"/>
      <c r="SAK78" s="262"/>
      <c r="SAL78" s="262"/>
      <c r="SAM78" s="262"/>
      <c r="SAN78" s="262"/>
      <c r="SAO78" s="262"/>
      <c r="SAP78" s="262"/>
      <c r="SAQ78" s="262"/>
      <c r="SAR78" s="262"/>
      <c r="SAS78" s="262"/>
      <c r="SAT78" s="262"/>
      <c r="SAU78" s="262"/>
      <c r="SAV78" s="262"/>
      <c r="SAW78" s="262"/>
      <c r="SAX78" s="262"/>
      <c r="SAY78" s="262"/>
      <c r="SAZ78" s="262"/>
      <c r="SBA78" s="262"/>
      <c r="SBB78" s="262"/>
      <c r="SBC78" s="262"/>
      <c r="SBD78" s="262"/>
      <c r="SBE78" s="262"/>
      <c r="SBF78" s="262"/>
      <c r="SBG78" s="262"/>
      <c r="SBH78" s="262"/>
      <c r="SBI78" s="262"/>
      <c r="SBJ78" s="262"/>
      <c r="SBK78" s="262"/>
      <c r="SBL78" s="262"/>
      <c r="SBM78" s="262"/>
      <c r="SBN78" s="262"/>
      <c r="SBO78" s="262"/>
      <c r="SBP78" s="262"/>
      <c r="SBQ78" s="262"/>
      <c r="SBR78" s="262"/>
      <c r="SBS78" s="262"/>
      <c r="SBT78" s="262"/>
      <c r="SBU78" s="262"/>
      <c r="SBV78" s="262"/>
      <c r="SBW78" s="262"/>
      <c r="SBX78" s="262"/>
      <c r="SBY78" s="262"/>
      <c r="SBZ78" s="262"/>
      <c r="SCA78" s="262"/>
      <c r="SCB78" s="262"/>
      <c r="SCC78" s="262"/>
      <c r="SCD78" s="262"/>
      <c r="SCE78" s="262"/>
      <c r="SCF78" s="262"/>
      <c r="SCG78" s="262"/>
      <c r="SCH78" s="262"/>
      <c r="SCI78" s="262"/>
      <c r="SCJ78" s="262"/>
      <c r="SCK78" s="262"/>
      <c r="SCL78" s="262"/>
      <c r="SCM78" s="262"/>
      <c r="SCN78" s="262"/>
      <c r="SCO78" s="262"/>
      <c r="SCP78" s="262"/>
      <c r="SCQ78" s="262"/>
      <c r="SCR78" s="262"/>
      <c r="SCS78" s="262"/>
      <c r="SCT78" s="262"/>
      <c r="SCU78" s="262"/>
      <c r="SCV78" s="262"/>
      <c r="SCW78" s="262"/>
      <c r="SCX78" s="262"/>
      <c r="SCY78" s="262"/>
      <c r="SCZ78" s="262"/>
      <c r="SDA78" s="262"/>
      <c r="SDB78" s="262"/>
      <c r="SDC78" s="262"/>
      <c r="SDD78" s="262"/>
      <c r="SDE78" s="262"/>
      <c r="SDF78" s="262"/>
      <c r="SDG78" s="262"/>
      <c r="SDH78" s="262"/>
      <c r="SDI78" s="262"/>
      <c r="SDJ78" s="262"/>
      <c r="SDK78" s="262"/>
      <c r="SDL78" s="262"/>
      <c r="SDM78" s="262"/>
      <c r="SDN78" s="262"/>
      <c r="SDO78" s="262"/>
      <c r="SDP78" s="262"/>
      <c r="SDQ78" s="262"/>
      <c r="SDR78" s="262"/>
      <c r="SDS78" s="262"/>
      <c r="SDT78" s="262"/>
      <c r="SDU78" s="262"/>
      <c r="SDV78" s="262"/>
      <c r="SDW78" s="262"/>
      <c r="SDX78" s="262"/>
      <c r="SDY78" s="262"/>
      <c r="SDZ78" s="262"/>
      <c r="SEA78" s="262"/>
      <c r="SEB78" s="262"/>
      <c r="SEC78" s="262"/>
      <c r="SED78" s="262"/>
      <c r="SEE78" s="262"/>
      <c r="SEF78" s="262"/>
      <c r="SEG78" s="262"/>
      <c r="SEH78" s="262"/>
      <c r="SEI78" s="262"/>
      <c r="SEJ78" s="262"/>
      <c r="SEK78" s="262"/>
      <c r="SEL78" s="262"/>
      <c r="SEM78" s="262"/>
      <c r="SEN78" s="262"/>
      <c r="SEO78" s="262"/>
      <c r="SEP78" s="262"/>
      <c r="SEQ78" s="262"/>
      <c r="SER78" s="262"/>
      <c r="SES78" s="262"/>
      <c r="SET78" s="262"/>
      <c r="SEU78" s="262"/>
      <c r="SEV78" s="262"/>
      <c r="SEW78" s="262"/>
      <c r="SEX78" s="262"/>
      <c r="SEY78" s="262"/>
      <c r="SEZ78" s="262"/>
      <c r="SFA78" s="262"/>
      <c r="SFB78" s="262"/>
      <c r="SFC78" s="262"/>
      <c r="SFD78" s="262"/>
      <c r="SFE78" s="262"/>
      <c r="SFF78" s="262"/>
      <c r="SFG78" s="262"/>
      <c r="SFH78" s="262"/>
      <c r="SFI78" s="262"/>
      <c r="SFJ78" s="262"/>
      <c r="SFK78" s="262"/>
      <c r="SFL78" s="262"/>
      <c r="SFM78" s="262"/>
      <c r="SFN78" s="262"/>
      <c r="SFO78" s="262"/>
      <c r="SFP78" s="262"/>
      <c r="SFQ78" s="262"/>
      <c r="SFR78" s="262"/>
      <c r="SFS78" s="262"/>
      <c r="SFT78" s="262"/>
      <c r="SFU78" s="262"/>
      <c r="SFV78" s="262"/>
      <c r="SFW78" s="262"/>
      <c r="SFX78" s="262"/>
      <c r="SFY78" s="262"/>
      <c r="SFZ78" s="262"/>
      <c r="SGA78" s="262"/>
      <c r="SGB78" s="262"/>
      <c r="SGC78" s="262"/>
      <c r="SGD78" s="262"/>
      <c r="SGE78" s="262"/>
      <c r="SGF78" s="262"/>
      <c r="SGG78" s="262"/>
      <c r="SGH78" s="262"/>
      <c r="SGI78" s="262"/>
      <c r="SGJ78" s="262"/>
      <c r="SGK78" s="262"/>
      <c r="SGL78" s="262"/>
      <c r="SGM78" s="262"/>
      <c r="SGN78" s="262"/>
      <c r="SGO78" s="262"/>
      <c r="SGP78" s="262"/>
      <c r="SGQ78" s="262"/>
      <c r="SGR78" s="262"/>
      <c r="SGS78" s="262"/>
      <c r="SGT78" s="262"/>
      <c r="SGU78" s="262"/>
      <c r="SGV78" s="262"/>
      <c r="SGW78" s="262"/>
      <c r="SGX78" s="262"/>
      <c r="SGY78" s="262"/>
      <c r="SGZ78" s="262"/>
      <c r="SHA78" s="262"/>
      <c r="SHB78" s="262"/>
      <c r="SHC78" s="262"/>
      <c r="SHD78" s="262"/>
      <c r="SHE78" s="262"/>
      <c r="SHF78" s="262"/>
      <c r="SHG78" s="262"/>
      <c r="SHH78" s="262"/>
      <c r="SHI78" s="262"/>
      <c r="SHJ78" s="262"/>
      <c r="SHK78" s="262"/>
      <c r="SHL78" s="262"/>
      <c r="SHM78" s="262"/>
      <c r="SHN78" s="262"/>
      <c r="SHO78" s="262"/>
      <c r="SHP78" s="262"/>
      <c r="SHQ78" s="262"/>
      <c r="SHR78" s="262"/>
      <c r="SHS78" s="262"/>
      <c r="SHT78" s="262"/>
      <c r="SHU78" s="262"/>
      <c r="SHV78" s="262"/>
      <c r="SHW78" s="262"/>
      <c r="SHX78" s="262"/>
      <c r="SHY78" s="262"/>
      <c r="SHZ78" s="262"/>
      <c r="SIA78" s="262"/>
      <c r="SIB78" s="262"/>
      <c r="SIC78" s="262"/>
      <c r="SID78" s="262"/>
      <c r="SIE78" s="262"/>
      <c r="SIF78" s="262"/>
      <c r="SIG78" s="262"/>
      <c r="SIH78" s="262"/>
      <c r="SII78" s="262"/>
      <c r="SIJ78" s="262"/>
      <c r="SIK78" s="262"/>
      <c r="SIL78" s="262"/>
      <c r="SIM78" s="262"/>
      <c r="SIN78" s="262"/>
      <c r="SIO78" s="262"/>
      <c r="SIP78" s="262"/>
      <c r="SIQ78" s="262"/>
      <c r="SIR78" s="262"/>
      <c r="SIS78" s="262"/>
      <c r="SIT78" s="262"/>
      <c r="SIU78" s="262"/>
      <c r="SIV78" s="262"/>
      <c r="SIW78" s="262"/>
      <c r="SIX78" s="262"/>
      <c r="SIY78" s="262"/>
      <c r="SIZ78" s="262"/>
      <c r="SJA78" s="262"/>
      <c r="SJB78" s="262"/>
      <c r="SJC78" s="262"/>
      <c r="SJD78" s="262"/>
      <c r="SJE78" s="262"/>
      <c r="SJF78" s="262"/>
      <c r="SJG78" s="262"/>
      <c r="SJH78" s="262"/>
      <c r="SJI78" s="262"/>
      <c r="SJJ78" s="262"/>
      <c r="SJK78" s="262"/>
      <c r="SJL78" s="262"/>
      <c r="SJM78" s="262"/>
      <c r="SJN78" s="262"/>
      <c r="SJO78" s="262"/>
      <c r="SJP78" s="262"/>
      <c r="SJQ78" s="262"/>
      <c r="SJR78" s="262"/>
      <c r="SJS78" s="262"/>
      <c r="SJT78" s="262"/>
      <c r="SJU78" s="262"/>
      <c r="SJV78" s="262"/>
      <c r="SJW78" s="262"/>
      <c r="SJX78" s="262"/>
      <c r="SJY78" s="262"/>
      <c r="SJZ78" s="262"/>
      <c r="SKA78" s="262"/>
      <c r="SKB78" s="262"/>
      <c r="SKC78" s="262"/>
      <c r="SKD78" s="262"/>
      <c r="SKE78" s="262"/>
      <c r="SKF78" s="262"/>
      <c r="SKG78" s="262"/>
      <c r="SKH78" s="262"/>
      <c r="SKI78" s="262"/>
      <c r="SKJ78" s="262"/>
      <c r="SKK78" s="262"/>
      <c r="SKL78" s="262"/>
      <c r="SKM78" s="262"/>
      <c r="SKN78" s="262"/>
      <c r="SKO78" s="262"/>
      <c r="SKP78" s="262"/>
      <c r="SKQ78" s="262"/>
      <c r="SKR78" s="262"/>
      <c r="SKS78" s="262"/>
      <c r="SKT78" s="262"/>
      <c r="SKU78" s="262"/>
      <c r="SKV78" s="262"/>
      <c r="SKW78" s="262"/>
      <c r="SKX78" s="262"/>
      <c r="SKY78" s="262"/>
      <c r="SKZ78" s="262"/>
      <c r="SLA78" s="262"/>
      <c r="SLB78" s="262"/>
      <c r="SLC78" s="262"/>
      <c r="SLD78" s="262"/>
      <c r="SLE78" s="262"/>
      <c r="SLF78" s="262"/>
      <c r="SLG78" s="262"/>
      <c r="SLH78" s="262"/>
      <c r="SLI78" s="262"/>
      <c r="SLJ78" s="262"/>
      <c r="SLK78" s="262"/>
      <c r="SLL78" s="262"/>
      <c r="SLM78" s="262"/>
      <c r="SLN78" s="262"/>
      <c r="SLO78" s="262"/>
      <c r="SLP78" s="262"/>
      <c r="SLQ78" s="262"/>
      <c r="SLR78" s="262"/>
      <c r="SLS78" s="262"/>
      <c r="SLT78" s="262"/>
      <c r="SLU78" s="262"/>
      <c r="SLV78" s="262"/>
      <c r="SLW78" s="262"/>
      <c r="SLX78" s="262"/>
      <c r="SLY78" s="262"/>
      <c r="SLZ78" s="262"/>
      <c r="SMA78" s="262"/>
      <c r="SMB78" s="262"/>
      <c r="SMC78" s="262"/>
      <c r="SMD78" s="262"/>
      <c r="SME78" s="262"/>
      <c r="SMF78" s="262"/>
      <c r="SMG78" s="262"/>
      <c r="SMH78" s="262"/>
      <c r="SMI78" s="262"/>
      <c r="SMJ78" s="262"/>
      <c r="SMK78" s="262"/>
      <c r="SML78" s="262"/>
      <c r="SMM78" s="262"/>
      <c r="SMN78" s="262"/>
      <c r="SMO78" s="262"/>
      <c r="SMP78" s="262"/>
      <c r="SMQ78" s="262"/>
      <c r="SMR78" s="262"/>
      <c r="SMS78" s="262"/>
      <c r="SMT78" s="262"/>
      <c r="SMU78" s="262"/>
      <c r="SMV78" s="262"/>
      <c r="SMW78" s="262"/>
      <c r="SMX78" s="262"/>
      <c r="SMY78" s="262"/>
      <c r="SMZ78" s="262"/>
      <c r="SNA78" s="262"/>
      <c r="SNB78" s="262"/>
      <c r="SNC78" s="262"/>
      <c r="SND78" s="262"/>
      <c r="SNE78" s="262"/>
      <c r="SNF78" s="262"/>
      <c r="SNG78" s="262"/>
      <c r="SNH78" s="262"/>
      <c r="SNI78" s="262"/>
      <c r="SNJ78" s="262"/>
      <c r="SNK78" s="262"/>
      <c r="SNL78" s="262"/>
      <c r="SNM78" s="262"/>
      <c r="SNN78" s="262"/>
      <c r="SNO78" s="262"/>
      <c r="SNP78" s="262"/>
      <c r="SNQ78" s="262"/>
      <c r="SNR78" s="262"/>
      <c r="SNS78" s="262"/>
      <c r="SNT78" s="262"/>
      <c r="SNU78" s="262"/>
      <c r="SNV78" s="262"/>
      <c r="SNW78" s="262"/>
      <c r="SNX78" s="262"/>
      <c r="SNY78" s="262"/>
      <c r="SNZ78" s="262"/>
      <c r="SOA78" s="262"/>
      <c r="SOB78" s="262"/>
      <c r="SOC78" s="262"/>
      <c r="SOD78" s="262"/>
      <c r="SOE78" s="262"/>
      <c r="SOF78" s="262"/>
      <c r="SOG78" s="262"/>
      <c r="SOH78" s="262"/>
      <c r="SOI78" s="262"/>
      <c r="SOJ78" s="262"/>
      <c r="SOK78" s="262"/>
      <c r="SOL78" s="262"/>
      <c r="SOM78" s="262"/>
      <c r="SON78" s="262"/>
      <c r="SOO78" s="262"/>
      <c r="SOP78" s="262"/>
      <c r="SOQ78" s="262"/>
      <c r="SOR78" s="262"/>
      <c r="SOS78" s="262"/>
      <c r="SOT78" s="262"/>
      <c r="SOU78" s="262"/>
      <c r="SOV78" s="262"/>
      <c r="SOW78" s="262"/>
      <c r="SOX78" s="262"/>
      <c r="SOY78" s="262"/>
      <c r="SOZ78" s="262"/>
      <c r="SPA78" s="262"/>
      <c r="SPB78" s="262"/>
      <c r="SPC78" s="262"/>
      <c r="SPD78" s="262"/>
      <c r="SPE78" s="262"/>
      <c r="SPF78" s="262"/>
      <c r="SPG78" s="262"/>
      <c r="SPH78" s="262"/>
      <c r="SPI78" s="262"/>
      <c r="SPJ78" s="262"/>
      <c r="SPK78" s="262"/>
      <c r="SPL78" s="262"/>
      <c r="SPM78" s="262"/>
      <c r="SPN78" s="262"/>
      <c r="SPO78" s="262"/>
      <c r="SPP78" s="262"/>
      <c r="SPQ78" s="262"/>
      <c r="SPR78" s="262"/>
      <c r="SPS78" s="262"/>
      <c r="SPT78" s="262"/>
      <c r="SPU78" s="262"/>
      <c r="SPV78" s="262"/>
      <c r="SPW78" s="262"/>
      <c r="SPX78" s="262"/>
      <c r="SPY78" s="262"/>
      <c r="SPZ78" s="262"/>
      <c r="SQA78" s="262"/>
      <c r="SQB78" s="262"/>
      <c r="SQC78" s="262"/>
      <c r="SQD78" s="262"/>
      <c r="SQE78" s="262"/>
      <c r="SQF78" s="262"/>
      <c r="SQG78" s="262"/>
      <c r="SQH78" s="262"/>
      <c r="SQI78" s="262"/>
      <c r="SQJ78" s="262"/>
      <c r="SQK78" s="262"/>
      <c r="SQL78" s="262"/>
      <c r="SQM78" s="262"/>
      <c r="SQN78" s="262"/>
      <c r="SQO78" s="262"/>
      <c r="SQP78" s="262"/>
      <c r="SQQ78" s="262"/>
      <c r="SQR78" s="262"/>
      <c r="SQS78" s="262"/>
      <c r="SQT78" s="262"/>
      <c r="SQU78" s="262"/>
      <c r="SQV78" s="262"/>
      <c r="SQW78" s="262"/>
      <c r="SQX78" s="262"/>
      <c r="SQY78" s="262"/>
      <c r="SQZ78" s="262"/>
      <c r="SRA78" s="262"/>
      <c r="SRB78" s="262"/>
      <c r="SRC78" s="262"/>
      <c r="SRD78" s="262"/>
      <c r="SRE78" s="262"/>
      <c r="SRF78" s="262"/>
      <c r="SRG78" s="262"/>
      <c r="SRH78" s="262"/>
      <c r="SRI78" s="262"/>
      <c r="SRJ78" s="262"/>
      <c r="SRK78" s="262"/>
      <c r="SRL78" s="262"/>
      <c r="SRM78" s="262"/>
      <c r="SRN78" s="262"/>
      <c r="SRO78" s="262"/>
      <c r="SRP78" s="262"/>
      <c r="SRQ78" s="262"/>
      <c r="SRR78" s="262"/>
      <c r="SRS78" s="262"/>
      <c r="SRT78" s="262"/>
      <c r="SRU78" s="262"/>
      <c r="SRV78" s="262"/>
      <c r="SRW78" s="262"/>
      <c r="SRX78" s="262"/>
      <c r="SRY78" s="262"/>
      <c r="SRZ78" s="262"/>
      <c r="SSA78" s="262"/>
      <c r="SSB78" s="262"/>
      <c r="SSC78" s="262"/>
      <c r="SSD78" s="262"/>
      <c r="SSE78" s="262"/>
      <c r="SSF78" s="262"/>
      <c r="SSG78" s="262"/>
      <c r="SSH78" s="262"/>
      <c r="SSI78" s="262"/>
      <c r="SSJ78" s="262"/>
      <c r="SSK78" s="262"/>
      <c r="SSL78" s="262"/>
      <c r="SSM78" s="262"/>
      <c r="SSN78" s="262"/>
      <c r="SSO78" s="262"/>
      <c r="SSP78" s="262"/>
      <c r="SSQ78" s="262"/>
      <c r="SSR78" s="262"/>
      <c r="SSS78" s="262"/>
      <c r="SST78" s="262"/>
      <c r="SSU78" s="262"/>
      <c r="SSV78" s="262"/>
      <c r="SSW78" s="262"/>
      <c r="SSX78" s="262"/>
      <c r="SSY78" s="262"/>
      <c r="SSZ78" s="262"/>
      <c r="STA78" s="262"/>
      <c r="STB78" s="262"/>
      <c r="STC78" s="262"/>
      <c r="STD78" s="262"/>
      <c r="STE78" s="262"/>
      <c r="STF78" s="262"/>
      <c r="STG78" s="262"/>
      <c r="STH78" s="262"/>
      <c r="STI78" s="262"/>
      <c r="STJ78" s="262"/>
      <c r="STK78" s="262"/>
      <c r="STL78" s="262"/>
      <c r="STM78" s="262"/>
      <c r="STN78" s="262"/>
      <c r="STO78" s="262"/>
      <c r="STP78" s="262"/>
      <c r="STQ78" s="262"/>
      <c r="STR78" s="262"/>
      <c r="STS78" s="262"/>
      <c r="STT78" s="262"/>
      <c r="STU78" s="262"/>
      <c r="STV78" s="262"/>
      <c r="STW78" s="262"/>
      <c r="STX78" s="262"/>
      <c r="STY78" s="262"/>
      <c r="STZ78" s="262"/>
      <c r="SUA78" s="262"/>
      <c r="SUB78" s="262"/>
      <c r="SUC78" s="262"/>
      <c r="SUD78" s="262"/>
      <c r="SUE78" s="262"/>
      <c r="SUF78" s="262"/>
      <c r="SUG78" s="262"/>
      <c r="SUH78" s="262"/>
      <c r="SUI78" s="262"/>
      <c r="SUJ78" s="262"/>
      <c r="SUK78" s="262"/>
      <c r="SUL78" s="262"/>
      <c r="SUM78" s="262"/>
      <c r="SUN78" s="262"/>
      <c r="SUO78" s="262"/>
      <c r="SUP78" s="262"/>
      <c r="SUQ78" s="262"/>
      <c r="SUR78" s="262"/>
      <c r="SUS78" s="262"/>
      <c r="SUT78" s="262"/>
      <c r="SUU78" s="262"/>
      <c r="SUV78" s="262"/>
      <c r="SUW78" s="262"/>
      <c r="SUX78" s="262"/>
      <c r="SUY78" s="262"/>
      <c r="SUZ78" s="262"/>
      <c r="SVA78" s="262"/>
      <c r="SVB78" s="262"/>
      <c r="SVC78" s="262"/>
      <c r="SVD78" s="262"/>
      <c r="SVE78" s="262"/>
      <c r="SVF78" s="262"/>
      <c r="SVG78" s="262"/>
      <c r="SVH78" s="262"/>
      <c r="SVI78" s="262"/>
      <c r="SVJ78" s="262"/>
      <c r="SVK78" s="262"/>
      <c r="SVL78" s="262"/>
      <c r="SVM78" s="262"/>
      <c r="SVN78" s="262"/>
      <c r="SVO78" s="262"/>
      <c r="SVP78" s="262"/>
      <c r="SVQ78" s="262"/>
      <c r="SVR78" s="262"/>
      <c r="SVS78" s="262"/>
      <c r="SVT78" s="262"/>
      <c r="SVU78" s="262"/>
      <c r="SVV78" s="262"/>
      <c r="SVW78" s="262"/>
      <c r="SVX78" s="262"/>
      <c r="SVY78" s="262"/>
      <c r="SVZ78" s="262"/>
      <c r="SWA78" s="262"/>
      <c r="SWB78" s="262"/>
      <c r="SWC78" s="262"/>
      <c r="SWD78" s="262"/>
      <c r="SWE78" s="262"/>
      <c r="SWF78" s="262"/>
      <c r="SWG78" s="262"/>
      <c r="SWH78" s="262"/>
      <c r="SWI78" s="262"/>
      <c r="SWJ78" s="262"/>
      <c r="SWK78" s="262"/>
      <c r="SWL78" s="262"/>
      <c r="SWM78" s="262"/>
      <c r="SWN78" s="262"/>
      <c r="SWO78" s="262"/>
      <c r="SWP78" s="262"/>
      <c r="SWQ78" s="262"/>
      <c r="SWR78" s="262"/>
      <c r="SWS78" s="262"/>
      <c r="SWT78" s="262"/>
      <c r="SWU78" s="262"/>
      <c r="SWV78" s="262"/>
      <c r="SWW78" s="262"/>
      <c r="SWX78" s="262"/>
      <c r="SWY78" s="262"/>
      <c r="SWZ78" s="262"/>
      <c r="SXA78" s="262"/>
      <c r="SXB78" s="262"/>
      <c r="SXC78" s="262"/>
      <c r="SXD78" s="262"/>
      <c r="SXE78" s="262"/>
      <c r="SXF78" s="262"/>
      <c r="SXG78" s="262"/>
      <c r="SXH78" s="262"/>
      <c r="SXI78" s="262"/>
      <c r="SXJ78" s="262"/>
      <c r="SXK78" s="262"/>
      <c r="SXL78" s="262"/>
      <c r="SXM78" s="262"/>
      <c r="SXN78" s="262"/>
      <c r="SXO78" s="262"/>
      <c r="SXP78" s="262"/>
      <c r="SXQ78" s="262"/>
      <c r="SXR78" s="262"/>
      <c r="SXS78" s="262"/>
      <c r="SXT78" s="262"/>
      <c r="SXU78" s="262"/>
      <c r="SXV78" s="262"/>
      <c r="SXW78" s="262"/>
      <c r="SXX78" s="262"/>
      <c r="SXY78" s="262"/>
      <c r="SXZ78" s="262"/>
      <c r="SYA78" s="262"/>
      <c r="SYB78" s="262"/>
      <c r="SYC78" s="262"/>
      <c r="SYD78" s="262"/>
      <c r="SYE78" s="262"/>
      <c r="SYF78" s="262"/>
      <c r="SYG78" s="262"/>
      <c r="SYH78" s="262"/>
      <c r="SYI78" s="262"/>
      <c r="SYJ78" s="262"/>
      <c r="SYK78" s="262"/>
      <c r="SYL78" s="262"/>
      <c r="SYM78" s="262"/>
      <c r="SYN78" s="262"/>
      <c r="SYO78" s="262"/>
      <c r="SYP78" s="262"/>
      <c r="SYQ78" s="262"/>
      <c r="SYR78" s="262"/>
      <c r="SYS78" s="262"/>
      <c r="SYT78" s="262"/>
      <c r="SYU78" s="262"/>
      <c r="SYV78" s="262"/>
      <c r="SYW78" s="262"/>
      <c r="SYX78" s="262"/>
      <c r="SYY78" s="262"/>
      <c r="SYZ78" s="262"/>
      <c r="SZA78" s="262"/>
      <c r="SZB78" s="262"/>
      <c r="SZC78" s="262"/>
      <c r="SZD78" s="262"/>
      <c r="SZE78" s="262"/>
      <c r="SZF78" s="262"/>
      <c r="SZG78" s="262"/>
      <c r="SZH78" s="262"/>
      <c r="SZI78" s="262"/>
      <c r="SZJ78" s="262"/>
      <c r="SZK78" s="262"/>
      <c r="SZL78" s="262"/>
      <c r="SZM78" s="262"/>
      <c r="SZN78" s="262"/>
      <c r="SZO78" s="262"/>
      <c r="SZP78" s="262"/>
      <c r="SZQ78" s="262"/>
      <c r="SZR78" s="262"/>
      <c r="SZS78" s="262"/>
      <c r="SZT78" s="262"/>
      <c r="SZU78" s="262"/>
      <c r="SZV78" s="262"/>
      <c r="SZW78" s="262"/>
      <c r="SZX78" s="262"/>
      <c r="SZY78" s="262"/>
      <c r="SZZ78" s="262"/>
      <c r="TAA78" s="262"/>
      <c r="TAB78" s="262"/>
      <c r="TAC78" s="262"/>
      <c r="TAD78" s="262"/>
      <c r="TAE78" s="262"/>
      <c r="TAF78" s="262"/>
      <c r="TAG78" s="262"/>
      <c r="TAH78" s="262"/>
      <c r="TAI78" s="262"/>
      <c r="TAJ78" s="262"/>
      <c r="TAK78" s="262"/>
      <c r="TAL78" s="262"/>
      <c r="TAM78" s="262"/>
      <c r="TAN78" s="262"/>
      <c r="TAO78" s="262"/>
      <c r="TAP78" s="262"/>
      <c r="TAQ78" s="262"/>
      <c r="TAR78" s="262"/>
      <c r="TAS78" s="262"/>
      <c r="TAT78" s="262"/>
      <c r="TAU78" s="262"/>
      <c r="TAV78" s="262"/>
      <c r="TAW78" s="262"/>
      <c r="TAX78" s="262"/>
      <c r="TAY78" s="262"/>
      <c r="TAZ78" s="262"/>
      <c r="TBA78" s="262"/>
      <c r="TBB78" s="262"/>
      <c r="TBC78" s="262"/>
      <c r="TBD78" s="262"/>
      <c r="TBE78" s="262"/>
      <c r="TBF78" s="262"/>
      <c r="TBG78" s="262"/>
      <c r="TBH78" s="262"/>
      <c r="TBI78" s="262"/>
      <c r="TBJ78" s="262"/>
      <c r="TBK78" s="262"/>
      <c r="TBL78" s="262"/>
      <c r="TBM78" s="262"/>
      <c r="TBN78" s="262"/>
      <c r="TBO78" s="262"/>
      <c r="TBP78" s="262"/>
      <c r="TBQ78" s="262"/>
      <c r="TBR78" s="262"/>
      <c r="TBS78" s="262"/>
      <c r="TBT78" s="262"/>
      <c r="TBU78" s="262"/>
      <c r="TBV78" s="262"/>
      <c r="TBW78" s="262"/>
      <c r="TBX78" s="262"/>
      <c r="TBY78" s="262"/>
      <c r="TBZ78" s="262"/>
      <c r="TCA78" s="262"/>
      <c r="TCB78" s="262"/>
      <c r="TCC78" s="262"/>
      <c r="TCD78" s="262"/>
      <c r="TCE78" s="262"/>
      <c r="TCF78" s="262"/>
      <c r="TCG78" s="262"/>
      <c r="TCH78" s="262"/>
      <c r="TCI78" s="262"/>
      <c r="TCJ78" s="262"/>
      <c r="TCK78" s="262"/>
      <c r="TCL78" s="262"/>
      <c r="TCM78" s="262"/>
      <c r="TCN78" s="262"/>
      <c r="TCO78" s="262"/>
      <c r="TCP78" s="262"/>
      <c r="TCQ78" s="262"/>
      <c r="TCR78" s="262"/>
      <c r="TCS78" s="262"/>
      <c r="TCT78" s="262"/>
      <c r="TCU78" s="262"/>
      <c r="TCV78" s="262"/>
      <c r="TCW78" s="262"/>
      <c r="TCX78" s="262"/>
      <c r="TCY78" s="262"/>
      <c r="TCZ78" s="262"/>
      <c r="TDA78" s="262"/>
      <c r="TDB78" s="262"/>
      <c r="TDC78" s="262"/>
      <c r="TDD78" s="262"/>
      <c r="TDE78" s="262"/>
      <c r="TDF78" s="262"/>
      <c r="TDG78" s="262"/>
      <c r="TDH78" s="262"/>
      <c r="TDI78" s="262"/>
      <c r="TDJ78" s="262"/>
      <c r="TDK78" s="262"/>
      <c r="TDL78" s="262"/>
      <c r="TDM78" s="262"/>
      <c r="TDN78" s="262"/>
      <c r="TDO78" s="262"/>
      <c r="TDP78" s="262"/>
      <c r="TDQ78" s="262"/>
      <c r="TDR78" s="262"/>
      <c r="TDS78" s="262"/>
      <c r="TDT78" s="262"/>
      <c r="TDU78" s="262"/>
      <c r="TDV78" s="262"/>
      <c r="TDW78" s="262"/>
      <c r="TDX78" s="262"/>
      <c r="TDY78" s="262"/>
      <c r="TDZ78" s="262"/>
      <c r="TEA78" s="262"/>
      <c r="TEB78" s="262"/>
      <c r="TEC78" s="262"/>
      <c r="TED78" s="262"/>
      <c r="TEE78" s="262"/>
      <c r="TEF78" s="262"/>
      <c r="TEG78" s="262"/>
      <c r="TEH78" s="262"/>
      <c r="TEI78" s="262"/>
      <c r="TEJ78" s="262"/>
      <c r="TEK78" s="262"/>
      <c r="TEL78" s="262"/>
      <c r="TEM78" s="262"/>
      <c r="TEN78" s="262"/>
      <c r="TEO78" s="262"/>
      <c r="TEP78" s="262"/>
      <c r="TEQ78" s="262"/>
      <c r="TER78" s="262"/>
      <c r="TES78" s="262"/>
      <c r="TET78" s="262"/>
      <c r="TEU78" s="262"/>
      <c r="TEV78" s="262"/>
      <c r="TEW78" s="262"/>
      <c r="TEX78" s="262"/>
      <c r="TEY78" s="262"/>
      <c r="TEZ78" s="262"/>
      <c r="TFA78" s="262"/>
      <c r="TFB78" s="262"/>
      <c r="TFC78" s="262"/>
      <c r="TFD78" s="262"/>
      <c r="TFE78" s="262"/>
      <c r="TFF78" s="262"/>
      <c r="TFG78" s="262"/>
      <c r="TFH78" s="262"/>
      <c r="TFI78" s="262"/>
      <c r="TFJ78" s="262"/>
      <c r="TFK78" s="262"/>
      <c r="TFL78" s="262"/>
      <c r="TFM78" s="262"/>
      <c r="TFN78" s="262"/>
      <c r="TFO78" s="262"/>
      <c r="TFP78" s="262"/>
      <c r="TFQ78" s="262"/>
      <c r="TFR78" s="262"/>
      <c r="TFS78" s="262"/>
      <c r="TFT78" s="262"/>
      <c r="TFU78" s="262"/>
      <c r="TFV78" s="262"/>
      <c r="TFW78" s="262"/>
      <c r="TFX78" s="262"/>
      <c r="TFY78" s="262"/>
      <c r="TFZ78" s="262"/>
      <c r="TGA78" s="262"/>
      <c r="TGB78" s="262"/>
      <c r="TGC78" s="262"/>
      <c r="TGD78" s="262"/>
      <c r="TGE78" s="262"/>
      <c r="TGF78" s="262"/>
      <c r="TGG78" s="262"/>
      <c r="TGH78" s="262"/>
      <c r="TGI78" s="262"/>
      <c r="TGJ78" s="262"/>
      <c r="TGK78" s="262"/>
      <c r="TGL78" s="262"/>
      <c r="TGM78" s="262"/>
      <c r="TGN78" s="262"/>
      <c r="TGO78" s="262"/>
      <c r="TGP78" s="262"/>
      <c r="TGQ78" s="262"/>
      <c r="TGR78" s="262"/>
      <c r="TGS78" s="262"/>
      <c r="TGT78" s="262"/>
      <c r="TGU78" s="262"/>
      <c r="TGV78" s="262"/>
      <c r="TGW78" s="262"/>
      <c r="TGX78" s="262"/>
      <c r="TGY78" s="262"/>
      <c r="TGZ78" s="262"/>
      <c r="THA78" s="262"/>
      <c r="THB78" s="262"/>
      <c r="THC78" s="262"/>
      <c r="THD78" s="262"/>
      <c r="THE78" s="262"/>
      <c r="THF78" s="262"/>
      <c r="THG78" s="262"/>
      <c r="THH78" s="262"/>
      <c r="THI78" s="262"/>
      <c r="THJ78" s="262"/>
      <c r="THK78" s="262"/>
      <c r="THL78" s="262"/>
      <c r="THM78" s="262"/>
      <c r="THN78" s="262"/>
      <c r="THO78" s="262"/>
      <c r="THP78" s="262"/>
      <c r="THQ78" s="262"/>
      <c r="THR78" s="262"/>
      <c r="THS78" s="262"/>
      <c r="THT78" s="262"/>
      <c r="THU78" s="262"/>
      <c r="THV78" s="262"/>
      <c r="THW78" s="262"/>
      <c r="THX78" s="262"/>
      <c r="THY78" s="262"/>
      <c r="THZ78" s="262"/>
      <c r="TIA78" s="262"/>
      <c r="TIB78" s="262"/>
      <c r="TIC78" s="262"/>
      <c r="TID78" s="262"/>
      <c r="TIE78" s="262"/>
      <c r="TIF78" s="262"/>
      <c r="TIG78" s="262"/>
      <c r="TIH78" s="262"/>
      <c r="TII78" s="262"/>
      <c r="TIJ78" s="262"/>
      <c r="TIK78" s="262"/>
      <c r="TIL78" s="262"/>
      <c r="TIM78" s="262"/>
      <c r="TIN78" s="262"/>
      <c r="TIO78" s="262"/>
      <c r="TIP78" s="262"/>
      <c r="TIQ78" s="262"/>
      <c r="TIR78" s="262"/>
      <c r="TIS78" s="262"/>
      <c r="TIT78" s="262"/>
      <c r="TIU78" s="262"/>
      <c r="TIV78" s="262"/>
      <c r="TIW78" s="262"/>
      <c r="TIX78" s="262"/>
      <c r="TIY78" s="262"/>
      <c r="TIZ78" s="262"/>
      <c r="TJA78" s="262"/>
      <c r="TJB78" s="262"/>
      <c r="TJC78" s="262"/>
      <c r="TJD78" s="262"/>
      <c r="TJE78" s="262"/>
      <c r="TJF78" s="262"/>
      <c r="TJG78" s="262"/>
      <c r="TJH78" s="262"/>
      <c r="TJI78" s="262"/>
      <c r="TJJ78" s="262"/>
      <c r="TJK78" s="262"/>
      <c r="TJL78" s="262"/>
      <c r="TJM78" s="262"/>
      <c r="TJN78" s="262"/>
      <c r="TJO78" s="262"/>
      <c r="TJP78" s="262"/>
      <c r="TJQ78" s="262"/>
      <c r="TJR78" s="262"/>
      <c r="TJS78" s="262"/>
      <c r="TJT78" s="262"/>
      <c r="TJU78" s="262"/>
      <c r="TJV78" s="262"/>
      <c r="TJW78" s="262"/>
      <c r="TJX78" s="262"/>
      <c r="TJY78" s="262"/>
      <c r="TJZ78" s="262"/>
      <c r="TKA78" s="262"/>
      <c r="TKB78" s="262"/>
      <c r="TKC78" s="262"/>
      <c r="TKD78" s="262"/>
      <c r="TKE78" s="262"/>
      <c r="TKF78" s="262"/>
      <c r="TKG78" s="262"/>
      <c r="TKH78" s="262"/>
      <c r="TKI78" s="262"/>
      <c r="TKJ78" s="262"/>
      <c r="TKK78" s="262"/>
      <c r="TKL78" s="262"/>
      <c r="TKM78" s="262"/>
      <c r="TKN78" s="262"/>
      <c r="TKO78" s="262"/>
      <c r="TKP78" s="262"/>
      <c r="TKQ78" s="262"/>
      <c r="TKR78" s="262"/>
      <c r="TKS78" s="262"/>
      <c r="TKT78" s="262"/>
      <c r="TKU78" s="262"/>
      <c r="TKV78" s="262"/>
      <c r="TKW78" s="262"/>
      <c r="TKX78" s="262"/>
      <c r="TKY78" s="262"/>
      <c r="TKZ78" s="262"/>
      <c r="TLA78" s="262"/>
      <c r="TLB78" s="262"/>
      <c r="TLC78" s="262"/>
      <c r="TLD78" s="262"/>
      <c r="TLE78" s="262"/>
      <c r="TLF78" s="262"/>
      <c r="TLG78" s="262"/>
      <c r="TLH78" s="262"/>
      <c r="TLI78" s="262"/>
      <c r="TLJ78" s="262"/>
      <c r="TLK78" s="262"/>
      <c r="TLL78" s="262"/>
      <c r="TLM78" s="262"/>
      <c r="TLN78" s="262"/>
      <c r="TLO78" s="262"/>
      <c r="TLP78" s="262"/>
      <c r="TLQ78" s="262"/>
      <c r="TLR78" s="262"/>
      <c r="TLS78" s="262"/>
      <c r="TLT78" s="262"/>
      <c r="TLU78" s="262"/>
      <c r="TLV78" s="262"/>
      <c r="TLW78" s="262"/>
      <c r="TLX78" s="262"/>
      <c r="TLY78" s="262"/>
      <c r="TLZ78" s="262"/>
      <c r="TMA78" s="262"/>
      <c r="TMB78" s="262"/>
      <c r="TMC78" s="262"/>
      <c r="TMD78" s="262"/>
      <c r="TME78" s="262"/>
      <c r="TMF78" s="262"/>
      <c r="TMG78" s="262"/>
      <c r="TMH78" s="262"/>
      <c r="TMI78" s="262"/>
      <c r="TMJ78" s="262"/>
      <c r="TMK78" s="262"/>
      <c r="TML78" s="262"/>
      <c r="TMM78" s="262"/>
      <c r="TMN78" s="262"/>
      <c r="TMO78" s="262"/>
      <c r="TMP78" s="262"/>
      <c r="TMQ78" s="262"/>
      <c r="TMR78" s="262"/>
      <c r="TMS78" s="262"/>
      <c r="TMT78" s="262"/>
      <c r="TMU78" s="262"/>
      <c r="TMV78" s="262"/>
      <c r="TMW78" s="262"/>
      <c r="TMX78" s="262"/>
      <c r="TMY78" s="262"/>
      <c r="TMZ78" s="262"/>
      <c r="TNA78" s="262"/>
      <c r="TNB78" s="262"/>
      <c r="TNC78" s="262"/>
      <c r="TND78" s="262"/>
      <c r="TNE78" s="262"/>
      <c r="TNF78" s="262"/>
      <c r="TNG78" s="262"/>
      <c r="TNH78" s="262"/>
      <c r="TNI78" s="262"/>
      <c r="TNJ78" s="262"/>
      <c r="TNK78" s="262"/>
      <c r="TNL78" s="262"/>
      <c r="TNM78" s="262"/>
      <c r="TNN78" s="262"/>
      <c r="TNO78" s="262"/>
      <c r="TNP78" s="262"/>
      <c r="TNQ78" s="262"/>
      <c r="TNR78" s="262"/>
      <c r="TNS78" s="262"/>
      <c r="TNT78" s="262"/>
      <c r="TNU78" s="262"/>
      <c r="TNV78" s="262"/>
      <c r="TNW78" s="262"/>
      <c r="TNX78" s="262"/>
      <c r="TNY78" s="262"/>
      <c r="TNZ78" s="262"/>
      <c r="TOA78" s="262"/>
      <c r="TOB78" s="262"/>
      <c r="TOC78" s="262"/>
      <c r="TOD78" s="262"/>
      <c r="TOE78" s="262"/>
      <c r="TOF78" s="262"/>
      <c r="TOG78" s="262"/>
      <c r="TOH78" s="262"/>
      <c r="TOI78" s="262"/>
      <c r="TOJ78" s="262"/>
      <c r="TOK78" s="262"/>
      <c r="TOL78" s="262"/>
      <c r="TOM78" s="262"/>
      <c r="TON78" s="262"/>
      <c r="TOO78" s="262"/>
      <c r="TOP78" s="262"/>
      <c r="TOQ78" s="262"/>
      <c r="TOR78" s="262"/>
      <c r="TOS78" s="262"/>
      <c r="TOT78" s="262"/>
      <c r="TOU78" s="262"/>
      <c r="TOV78" s="262"/>
      <c r="TOW78" s="262"/>
      <c r="TOX78" s="262"/>
      <c r="TOY78" s="262"/>
      <c r="TOZ78" s="262"/>
      <c r="TPA78" s="262"/>
      <c r="TPB78" s="262"/>
      <c r="TPC78" s="262"/>
      <c r="TPD78" s="262"/>
      <c r="TPE78" s="262"/>
      <c r="TPF78" s="262"/>
      <c r="TPG78" s="262"/>
      <c r="TPH78" s="262"/>
      <c r="TPI78" s="262"/>
      <c r="TPJ78" s="262"/>
      <c r="TPK78" s="262"/>
      <c r="TPL78" s="262"/>
      <c r="TPM78" s="262"/>
      <c r="TPN78" s="262"/>
      <c r="TPO78" s="262"/>
      <c r="TPP78" s="262"/>
      <c r="TPQ78" s="262"/>
      <c r="TPR78" s="262"/>
      <c r="TPS78" s="262"/>
      <c r="TPT78" s="262"/>
      <c r="TPU78" s="262"/>
      <c r="TPV78" s="262"/>
      <c r="TPW78" s="262"/>
      <c r="TPX78" s="262"/>
      <c r="TPY78" s="262"/>
      <c r="TPZ78" s="262"/>
      <c r="TQA78" s="262"/>
      <c r="TQB78" s="262"/>
      <c r="TQC78" s="262"/>
      <c r="TQD78" s="262"/>
      <c r="TQE78" s="262"/>
      <c r="TQF78" s="262"/>
      <c r="TQG78" s="262"/>
      <c r="TQH78" s="262"/>
      <c r="TQI78" s="262"/>
      <c r="TQJ78" s="262"/>
      <c r="TQK78" s="262"/>
      <c r="TQL78" s="262"/>
      <c r="TQM78" s="262"/>
      <c r="TQN78" s="262"/>
      <c r="TQO78" s="262"/>
      <c r="TQP78" s="262"/>
      <c r="TQQ78" s="262"/>
      <c r="TQR78" s="262"/>
      <c r="TQS78" s="262"/>
      <c r="TQT78" s="262"/>
      <c r="TQU78" s="262"/>
      <c r="TQV78" s="262"/>
      <c r="TQW78" s="262"/>
      <c r="TQX78" s="262"/>
      <c r="TQY78" s="262"/>
      <c r="TQZ78" s="262"/>
      <c r="TRA78" s="262"/>
      <c r="TRB78" s="262"/>
      <c r="TRC78" s="262"/>
      <c r="TRD78" s="262"/>
      <c r="TRE78" s="262"/>
      <c r="TRF78" s="262"/>
      <c r="TRG78" s="262"/>
      <c r="TRH78" s="262"/>
      <c r="TRI78" s="262"/>
      <c r="TRJ78" s="262"/>
      <c r="TRK78" s="262"/>
      <c r="TRL78" s="262"/>
      <c r="TRM78" s="262"/>
      <c r="TRN78" s="262"/>
      <c r="TRO78" s="262"/>
      <c r="TRP78" s="262"/>
      <c r="TRQ78" s="262"/>
      <c r="TRR78" s="262"/>
      <c r="TRS78" s="262"/>
      <c r="TRT78" s="262"/>
      <c r="TRU78" s="262"/>
      <c r="TRV78" s="262"/>
      <c r="TRW78" s="262"/>
      <c r="TRX78" s="262"/>
      <c r="TRY78" s="262"/>
      <c r="TRZ78" s="262"/>
      <c r="TSA78" s="262"/>
      <c r="TSB78" s="262"/>
      <c r="TSC78" s="262"/>
      <c r="TSD78" s="262"/>
      <c r="TSE78" s="262"/>
      <c r="TSF78" s="262"/>
      <c r="TSG78" s="262"/>
      <c r="TSH78" s="262"/>
      <c r="TSI78" s="262"/>
      <c r="TSJ78" s="262"/>
      <c r="TSK78" s="262"/>
      <c r="TSL78" s="262"/>
      <c r="TSM78" s="262"/>
      <c r="TSN78" s="262"/>
      <c r="TSO78" s="262"/>
      <c r="TSP78" s="262"/>
      <c r="TSQ78" s="262"/>
      <c r="TSR78" s="262"/>
      <c r="TSS78" s="262"/>
      <c r="TST78" s="262"/>
      <c r="TSU78" s="262"/>
      <c r="TSV78" s="262"/>
      <c r="TSW78" s="262"/>
      <c r="TSX78" s="262"/>
      <c r="TSY78" s="262"/>
      <c r="TSZ78" s="262"/>
      <c r="TTA78" s="262"/>
      <c r="TTB78" s="262"/>
      <c r="TTC78" s="262"/>
      <c r="TTD78" s="262"/>
      <c r="TTE78" s="262"/>
      <c r="TTF78" s="262"/>
      <c r="TTG78" s="262"/>
      <c r="TTH78" s="262"/>
      <c r="TTI78" s="262"/>
      <c r="TTJ78" s="262"/>
      <c r="TTK78" s="262"/>
      <c r="TTL78" s="262"/>
      <c r="TTM78" s="262"/>
      <c r="TTN78" s="262"/>
      <c r="TTO78" s="262"/>
      <c r="TTP78" s="262"/>
      <c r="TTQ78" s="262"/>
      <c r="TTR78" s="262"/>
      <c r="TTS78" s="262"/>
      <c r="TTT78" s="262"/>
      <c r="TTU78" s="262"/>
      <c r="TTV78" s="262"/>
      <c r="TTW78" s="262"/>
      <c r="TTX78" s="262"/>
      <c r="TTY78" s="262"/>
      <c r="TTZ78" s="262"/>
      <c r="TUA78" s="262"/>
      <c r="TUB78" s="262"/>
      <c r="TUC78" s="262"/>
      <c r="TUD78" s="262"/>
      <c r="TUE78" s="262"/>
      <c r="TUF78" s="262"/>
      <c r="TUG78" s="262"/>
      <c r="TUH78" s="262"/>
      <c r="TUI78" s="262"/>
      <c r="TUJ78" s="262"/>
      <c r="TUK78" s="262"/>
      <c r="TUL78" s="262"/>
      <c r="TUM78" s="262"/>
      <c r="TUN78" s="262"/>
      <c r="TUO78" s="262"/>
      <c r="TUP78" s="262"/>
      <c r="TUQ78" s="262"/>
      <c r="TUR78" s="262"/>
      <c r="TUS78" s="262"/>
      <c r="TUT78" s="262"/>
      <c r="TUU78" s="262"/>
      <c r="TUV78" s="262"/>
      <c r="TUW78" s="262"/>
      <c r="TUX78" s="262"/>
      <c r="TUY78" s="262"/>
      <c r="TUZ78" s="262"/>
      <c r="TVA78" s="262"/>
      <c r="TVB78" s="262"/>
      <c r="TVC78" s="262"/>
      <c r="TVD78" s="262"/>
      <c r="TVE78" s="262"/>
      <c r="TVF78" s="262"/>
      <c r="TVG78" s="262"/>
      <c r="TVH78" s="262"/>
      <c r="TVI78" s="262"/>
      <c r="TVJ78" s="262"/>
      <c r="TVK78" s="262"/>
      <c r="TVL78" s="262"/>
      <c r="TVM78" s="262"/>
      <c r="TVN78" s="262"/>
      <c r="TVO78" s="262"/>
      <c r="TVP78" s="262"/>
      <c r="TVQ78" s="262"/>
      <c r="TVR78" s="262"/>
      <c r="TVS78" s="262"/>
      <c r="TVT78" s="262"/>
      <c r="TVU78" s="262"/>
      <c r="TVV78" s="262"/>
      <c r="TVW78" s="262"/>
      <c r="TVX78" s="262"/>
      <c r="TVY78" s="262"/>
      <c r="TVZ78" s="262"/>
      <c r="TWA78" s="262"/>
      <c r="TWB78" s="262"/>
      <c r="TWC78" s="262"/>
      <c r="TWD78" s="262"/>
      <c r="TWE78" s="262"/>
      <c r="TWF78" s="262"/>
      <c r="TWG78" s="262"/>
      <c r="TWH78" s="262"/>
      <c r="TWI78" s="262"/>
      <c r="TWJ78" s="262"/>
      <c r="TWK78" s="262"/>
      <c r="TWL78" s="262"/>
      <c r="TWM78" s="262"/>
      <c r="TWN78" s="262"/>
      <c r="TWO78" s="262"/>
      <c r="TWP78" s="262"/>
      <c r="TWQ78" s="262"/>
      <c r="TWR78" s="262"/>
      <c r="TWS78" s="262"/>
      <c r="TWT78" s="262"/>
      <c r="TWU78" s="262"/>
      <c r="TWV78" s="262"/>
      <c r="TWW78" s="262"/>
      <c r="TWX78" s="262"/>
      <c r="TWY78" s="262"/>
      <c r="TWZ78" s="262"/>
      <c r="TXA78" s="262"/>
      <c r="TXB78" s="262"/>
      <c r="TXC78" s="262"/>
      <c r="TXD78" s="262"/>
      <c r="TXE78" s="262"/>
      <c r="TXF78" s="262"/>
      <c r="TXG78" s="262"/>
      <c r="TXH78" s="262"/>
      <c r="TXI78" s="262"/>
      <c r="TXJ78" s="262"/>
      <c r="TXK78" s="262"/>
      <c r="TXL78" s="262"/>
      <c r="TXM78" s="262"/>
      <c r="TXN78" s="262"/>
      <c r="TXO78" s="262"/>
      <c r="TXP78" s="262"/>
      <c r="TXQ78" s="262"/>
      <c r="TXR78" s="262"/>
      <c r="TXS78" s="262"/>
      <c r="TXT78" s="262"/>
      <c r="TXU78" s="262"/>
      <c r="TXV78" s="262"/>
      <c r="TXW78" s="262"/>
      <c r="TXX78" s="262"/>
      <c r="TXY78" s="262"/>
      <c r="TXZ78" s="262"/>
      <c r="TYA78" s="262"/>
      <c r="TYB78" s="262"/>
      <c r="TYC78" s="262"/>
      <c r="TYD78" s="262"/>
      <c r="TYE78" s="262"/>
      <c r="TYF78" s="262"/>
      <c r="TYG78" s="262"/>
      <c r="TYH78" s="262"/>
      <c r="TYI78" s="262"/>
      <c r="TYJ78" s="262"/>
      <c r="TYK78" s="262"/>
      <c r="TYL78" s="262"/>
      <c r="TYM78" s="262"/>
      <c r="TYN78" s="262"/>
      <c r="TYO78" s="262"/>
      <c r="TYP78" s="262"/>
      <c r="TYQ78" s="262"/>
      <c r="TYR78" s="262"/>
      <c r="TYS78" s="262"/>
      <c r="TYT78" s="262"/>
      <c r="TYU78" s="262"/>
      <c r="TYV78" s="262"/>
      <c r="TYW78" s="262"/>
      <c r="TYX78" s="262"/>
      <c r="TYY78" s="262"/>
      <c r="TYZ78" s="262"/>
      <c r="TZA78" s="262"/>
      <c r="TZB78" s="262"/>
      <c r="TZC78" s="262"/>
      <c r="TZD78" s="262"/>
      <c r="TZE78" s="262"/>
      <c r="TZF78" s="262"/>
      <c r="TZG78" s="262"/>
      <c r="TZH78" s="262"/>
      <c r="TZI78" s="262"/>
      <c r="TZJ78" s="262"/>
      <c r="TZK78" s="262"/>
      <c r="TZL78" s="262"/>
      <c r="TZM78" s="262"/>
      <c r="TZN78" s="262"/>
      <c r="TZO78" s="262"/>
      <c r="TZP78" s="262"/>
      <c r="TZQ78" s="262"/>
      <c r="TZR78" s="262"/>
      <c r="TZS78" s="262"/>
      <c r="TZT78" s="262"/>
      <c r="TZU78" s="262"/>
      <c r="TZV78" s="262"/>
      <c r="TZW78" s="262"/>
      <c r="TZX78" s="262"/>
      <c r="TZY78" s="262"/>
      <c r="TZZ78" s="262"/>
      <c r="UAA78" s="262"/>
      <c r="UAB78" s="262"/>
      <c r="UAC78" s="262"/>
      <c r="UAD78" s="262"/>
      <c r="UAE78" s="262"/>
      <c r="UAF78" s="262"/>
      <c r="UAG78" s="262"/>
      <c r="UAH78" s="262"/>
      <c r="UAI78" s="262"/>
      <c r="UAJ78" s="262"/>
      <c r="UAK78" s="262"/>
      <c r="UAL78" s="262"/>
      <c r="UAM78" s="262"/>
      <c r="UAN78" s="262"/>
      <c r="UAO78" s="262"/>
      <c r="UAP78" s="262"/>
      <c r="UAQ78" s="262"/>
      <c r="UAR78" s="262"/>
      <c r="UAS78" s="262"/>
      <c r="UAT78" s="262"/>
      <c r="UAU78" s="262"/>
      <c r="UAV78" s="262"/>
      <c r="UAW78" s="262"/>
      <c r="UAX78" s="262"/>
      <c r="UAY78" s="262"/>
      <c r="UAZ78" s="262"/>
      <c r="UBA78" s="262"/>
      <c r="UBB78" s="262"/>
      <c r="UBC78" s="262"/>
      <c r="UBD78" s="262"/>
      <c r="UBE78" s="262"/>
      <c r="UBF78" s="262"/>
      <c r="UBG78" s="262"/>
      <c r="UBH78" s="262"/>
      <c r="UBI78" s="262"/>
      <c r="UBJ78" s="262"/>
      <c r="UBK78" s="262"/>
      <c r="UBL78" s="262"/>
      <c r="UBM78" s="262"/>
      <c r="UBN78" s="262"/>
      <c r="UBO78" s="262"/>
      <c r="UBP78" s="262"/>
      <c r="UBQ78" s="262"/>
      <c r="UBR78" s="262"/>
      <c r="UBS78" s="262"/>
      <c r="UBT78" s="262"/>
      <c r="UBU78" s="262"/>
      <c r="UBV78" s="262"/>
      <c r="UBW78" s="262"/>
      <c r="UBX78" s="262"/>
      <c r="UBY78" s="262"/>
      <c r="UBZ78" s="262"/>
      <c r="UCA78" s="262"/>
      <c r="UCB78" s="262"/>
      <c r="UCC78" s="262"/>
      <c r="UCD78" s="262"/>
      <c r="UCE78" s="262"/>
      <c r="UCF78" s="262"/>
      <c r="UCG78" s="262"/>
      <c r="UCH78" s="262"/>
      <c r="UCI78" s="262"/>
      <c r="UCJ78" s="262"/>
      <c r="UCK78" s="262"/>
      <c r="UCL78" s="262"/>
      <c r="UCM78" s="262"/>
      <c r="UCN78" s="262"/>
      <c r="UCO78" s="262"/>
      <c r="UCP78" s="262"/>
      <c r="UCQ78" s="262"/>
      <c r="UCR78" s="262"/>
      <c r="UCS78" s="262"/>
      <c r="UCT78" s="262"/>
      <c r="UCU78" s="262"/>
      <c r="UCV78" s="262"/>
      <c r="UCW78" s="262"/>
      <c r="UCX78" s="262"/>
      <c r="UCY78" s="262"/>
      <c r="UCZ78" s="262"/>
      <c r="UDA78" s="262"/>
      <c r="UDB78" s="262"/>
      <c r="UDC78" s="262"/>
      <c r="UDD78" s="262"/>
      <c r="UDE78" s="262"/>
      <c r="UDF78" s="262"/>
      <c r="UDG78" s="262"/>
      <c r="UDH78" s="262"/>
      <c r="UDI78" s="262"/>
      <c r="UDJ78" s="262"/>
      <c r="UDK78" s="262"/>
      <c r="UDL78" s="262"/>
      <c r="UDM78" s="262"/>
      <c r="UDN78" s="262"/>
      <c r="UDO78" s="262"/>
      <c r="UDP78" s="262"/>
      <c r="UDQ78" s="262"/>
      <c r="UDR78" s="262"/>
      <c r="UDS78" s="262"/>
      <c r="UDT78" s="262"/>
      <c r="UDU78" s="262"/>
      <c r="UDV78" s="262"/>
      <c r="UDW78" s="262"/>
      <c r="UDX78" s="262"/>
      <c r="UDY78" s="262"/>
      <c r="UDZ78" s="262"/>
      <c r="UEA78" s="262"/>
      <c r="UEB78" s="262"/>
      <c r="UEC78" s="262"/>
      <c r="UED78" s="262"/>
      <c r="UEE78" s="262"/>
      <c r="UEF78" s="262"/>
      <c r="UEG78" s="262"/>
      <c r="UEH78" s="262"/>
      <c r="UEI78" s="262"/>
      <c r="UEJ78" s="262"/>
      <c r="UEK78" s="262"/>
      <c r="UEL78" s="262"/>
      <c r="UEM78" s="262"/>
      <c r="UEN78" s="262"/>
      <c r="UEO78" s="262"/>
      <c r="UEP78" s="262"/>
      <c r="UEQ78" s="262"/>
      <c r="UER78" s="262"/>
      <c r="UES78" s="262"/>
      <c r="UET78" s="262"/>
      <c r="UEU78" s="262"/>
      <c r="UEV78" s="262"/>
      <c r="UEW78" s="262"/>
      <c r="UEX78" s="262"/>
      <c r="UEY78" s="262"/>
      <c r="UEZ78" s="262"/>
      <c r="UFA78" s="262"/>
      <c r="UFB78" s="262"/>
      <c r="UFC78" s="262"/>
      <c r="UFD78" s="262"/>
      <c r="UFE78" s="262"/>
      <c r="UFF78" s="262"/>
      <c r="UFG78" s="262"/>
      <c r="UFH78" s="262"/>
      <c r="UFI78" s="262"/>
      <c r="UFJ78" s="262"/>
      <c r="UFK78" s="262"/>
      <c r="UFL78" s="262"/>
      <c r="UFM78" s="262"/>
      <c r="UFN78" s="262"/>
      <c r="UFO78" s="262"/>
      <c r="UFP78" s="262"/>
      <c r="UFQ78" s="262"/>
      <c r="UFR78" s="262"/>
      <c r="UFS78" s="262"/>
      <c r="UFT78" s="262"/>
      <c r="UFU78" s="262"/>
      <c r="UFV78" s="262"/>
      <c r="UFW78" s="262"/>
      <c r="UFX78" s="262"/>
      <c r="UFY78" s="262"/>
      <c r="UFZ78" s="262"/>
      <c r="UGA78" s="262"/>
      <c r="UGB78" s="262"/>
      <c r="UGC78" s="262"/>
      <c r="UGD78" s="262"/>
      <c r="UGE78" s="262"/>
      <c r="UGF78" s="262"/>
      <c r="UGG78" s="262"/>
      <c r="UGH78" s="262"/>
      <c r="UGI78" s="262"/>
      <c r="UGJ78" s="262"/>
      <c r="UGK78" s="262"/>
      <c r="UGL78" s="262"/>
      <c r="UGM78" s="262"/>
      <c r="UGN78" s="262"/>
      <c r="UGO78" s="262"/>
      <c r="UGP78" s="262"/>
      <c r="UGQ78" s="262"/>
      <c r="UGR78" s="262"/>
      <c r="UGS78" s="262"/>
      <c r="UGT78" s="262"/>
      <c r="UGU78" s="262"/>
      <c r="UGV78" s="262"/>
      <c r="UGW78" s="262"/>
      <c r="UGX78" s="262"/>
      <c r="UGY78" s="262"/>
      <c r="UGZ78" s="262"/>
      <c r="UHA78" s="262"/>
      <c r="UHB78" s="262"/>
      <c r="UHC78" s="262"/>
      <c r="UHD78" s="262"/>
      <c r="UHE78" s="262"/>
      <c r="UHF78" s="262"/>
      <c r="UHG78" s="262"/>
      <c r="UHH78" s="262"/>
      <c r="UHI78" s="262"/>
      <c r="UHJ78" s="262"/>
      <c r="UHK78" s="262"/>
      <c r="UHL78" s="262"/>
      <c r="UHM78" s="262"/>
      <c r="UHN78" s="262"/>
      <c r="UHO78" s="262"/>
      <c r="UHP78" s="262"/>
      <c r="UHQ78" s="262"/>
      <c r="UHR78" s="262"/>
      <c r="UHS78" s="262"/>
      <c r="UHT78" s="262"/>
      <c r="UHU78" s="262"/>
      <c r="UHV78" s="262"/>
      <c r="UHW78" s="262"/>
      <c r="UHX78" s="262"/>
      <c r="UHY78" s="262"/>
      <c r="UHZ78" s="262"/>
      <c r="UIA78" s="262"/>
      <c r="UIB78" s="262"/>
      <c r="UIC78" s="262"/>
      <c r="UID78" s="262"/>
      <c r="UIE78" s="262"/>
      <c r="UIF78" s="262"/>
      <c r="UIG78" s="262"/>
      <c r="UIH78" s="262"/>
      <c r="UII78" s="262"/>
      <c r="UIJ78" s="262"/>
      <c r="UIK78" s="262"/>
      <c r="UIL78" s="262"/>
      <c r="UIM78" s="262"/>
      <c r="UIN78" s="262"/>
      <c r="UIO78" s="262"/>
      <c r="UIP78" s="262"/>
      <c r="UIQ78" s="262"/>
      <c r="UIR78" s="262"/>
      <c r="UIS78" s="262"/>
      <c r="UIT78" s="262"/>
      <c r="UIU78" s="262"/>
      <c r="UIV78" s="262"/>
      <c r="UIW78" s="262"/>
      <c r="UIX78" s="262"/>
      <c r="UIY78" s="262"/>
      <c r="UIZ78" s="262"/>
      <c r="UJA78" s="262"/>
      <c r="UJB78" s="262"/>
      <c r="UJC78" s="262"/>
      <c r="UJD78" s="262"/>
      <c r="UJE78" s="262"/>
      <c r="UJF78" s="262"/>
      <c r="UJG78" s="262"/>
      <c r="UJH78" s="262"/>
      <c r="UJI78" s="262"/>
      <c r="UJJ78" s="262"/>
      <c r="UJK78" s="262"/>
      <c r="UJL78" s="262"/>
      <c r="UJM78" s="262"/>
      <c r="UJN78" s="262"/>
      <c r="UJO78" s="262"/>
      <c r="UJP78" s="262"/>
      <c r="UJQ78" s="262"/>
      <c r="UJR78" s="262"/>
      <c r="UJS78" s="262"/>
      <c r="UJT78" s="262"/>
      <c r="UJU78" s="262"/>
      <c r="UJV78" s="262"/>
      <c r="UJW78" s="262"/>
      <c r="UJX78" s="262"/>
      <c r="UJY78" s="262"/>
      <c r="UJZ78" s="262"/>
      <c r="UKA78" s="262"/>
      <c r="UKB78" s="262"/>
      <c r="UKC78" s="262"/>
      <c r="UKD78" s="262"/>
      <c r="UKE78" s="262"/>
      <c r="UKF78" s="262"/>
      <c r="UKG78" s="262"/>
      <c r="UKH78" s="262"/>
      <c r="UKI78" s="262"/>
      <c r="UKJ78" s="262"/>
      <c r="UKK78" s="262"/>
      <c r="UKL78" s="262"/>
      <c r="UKM78" s="262"/>
      <c r="UKN78" s="262"/>
      <c r="UKO78" s="262"/>
      <c r="UKP78" s="262"/>
      <c r="UKQ78" s="262"/>
      <c r="UKR78" s="262"/>
      <c r="UKS78" s="262"/>
      <c r="UKT78" s="262"/>
      <c r="UKU78" s="262"/>
      <c r="UKV78" s="262"/>
      <c r="UKW78" s="262"/>
      <c r="UKX78" s="262"/>
      <c r="UKY78" s="262"/>
      <c r="UKZ78" s="262"/>
      <c r="ULA78" s="262"/>
      <c r="ULB78" s="262"/>
      <c r="ULC78" s="262"/>
      <c r="ULD78" s="262"/>
      <c r="ULE78" s="262"/>
      <c r="ULF78" s="262"/>
      <c r="ULG78" s="262"/>
      <c r="ULH78" s="262"/>
      <c r="ULI78" s="262"/>
      <c r="ULJ78" s="262"/>
      <c r="ULK78" s="262"/>
      <c r="ULL78" s="262"/>
      <c r="ULM78" s="262"/>
      <c r="ULN78" s="262"/>
      <c r="ULO78" s="262"/>
      <c r="ULP78" s="262"/>
      <c r="ULQ78" s="262"/>
      <c r="ULR78" s="262"/>
      <c r="ULS78" s="262"/>
      <c r="ULT78" s="262"/>
      <c r="ULU78" s="262"/>
      <c r="ULV78" s="262"/>
      <c r="ULW78" s="262"/>
      <c r="ULX78" s="262"/>
      <c r="ULY78" s="262"/>
      <c r="ULZ78" s="262"/>
      <c r="UMA78" s="262"/>
      <c r="UMB78" s="262"/>
      <c r="UMC78" s="262"/>
      <c r="UMD78" s="262"/>
      <c r="UME78" s="262"/>
      <c r="UMF78" s="262"/>
      <c r="UMG78" s="262"/>
      <c r="UMH78" s="262"/>
      <c r="UMI78" s="262"/>
      <c r="UMJ78" s="262"/>
      <c r="UMK78" s="262"/>
      <c r="UML78" s="262"/>
      <c r="UMM78" s="262"/>
      <c r="UMN78" s="262"/>
      <c r="UMO78" s="262"/>
      <c r="UMP78" s="262"/>
      <c r="UMQ78" s="262"/>
      <c r="UMR78" s="262"/>
      <c r="UMS78" s="262"/>
      <c r="UMT78" s="262"/>
      <c r="UMU78" s="262"/>
      <c r="UMV78" s="262"/>
      <c r="UMW78" s="262"/>
      <c r="UMX78" s="262"/>
      <c r="UMY78" s="262"/>
      <c r="UMZ78" s="262"/>
      <c r="UNA78" s="262"/>
      <c r="UNB78" s="262"/>
      <c r="UNC78" s="262"/>
      <c r="UND78" s="262"/>
      <c r="UNE78" s="262"/>
      <c r="UNF78" s="262"/>
      <c r="UNG78" s="262"/>
      <c r="UNH78" s="262"/>
      <c r="UNI78" s="262"/>
      <c r="UNJ78" s="262"/>
      <c r="UNK78" s="262"/>
      <c r="UNL78" s="262"/>
      <c r="UNM78" s="262"/>
      <c r="UNN78" s="262"/>
      <c r="UNO78" s="262"/>
      <c r="UNP78" s="262"/>
      <c r="UNQ78" s="262"/>
      <c r="UNR78" s="262"/>
      <c r="UNS78" s="262"/>
      <c r="UNT78" s="262"/>
      <c r="UNU78" s="262"/>
      <c r="UNV78" s="262"/>
      <c r="UNW78" s="262"/>
      <c r="UNX78" s="262"/>
      <c r="UNY78" s="262"/>
      <c r="UNZ78" s="262"/>
      <c r="UOA78" s="262"/>
      <c r="UOB78" s="262"/>
      <c r="UOC78" s="262"/>
      <c r="UOD78" s="262"/>
      <c r="UOE78" s="262"/>
      <c r="UOF78" s="262"/>
      <c r="UOG78" s="262"/>
      <c r="UOH78" s="262"/>
      <c r="UOI78" s="262"/>
      <c r="UOJ78" s="262"/>
      <c r="UOK78" s="262"/>
      <c r="UOL78" s="262"/>
      <c r="UOM78" s="262"/>
      <c r="UON78" s="262"/>
      <c r="UOO78" s="262"/>
      <c r="UOP78" s="262"/>
      <c r="UOQ78" s="262"/>
      <c r="UOR78" s="262"/>
      <c r="UOS78" s="262"/>
      <c r="UOT78" s="262"/>
      <c r="UOU78" s="262"/>
      <c r="UOV78" s="262"/>
      <c r="UOW78" s="262"/>
      <c r="UOX78" s="262"/>
      <c r="UOY78" s="262"/>
      <c r="UOZ78" s="262"/>
      <c r="UPA78" s="262"/>
      <c r="UPB78" s="262"/>
      <c r="UPC78" s="262"/>
      <c r="UPD78" s="262"/>
      <c r="UPE78" s="262"/>
      <c r="UPF78" s="262"/>
      <c r="UPG78" s="262"/>
      <c r="UPH78" s="262"/>
      <c r="UPI78" s="262"/>
      <c r="UPJ78" s="262"/>
      <c r="UPK78" s="262"/>
      <c r="UPL78" s="262"/>
      <c r="UPM78" s="262"/>
      <c r="UPN78" s="262"/>
      <c r="UPO78" s="262"/>
      <c r="UPP78" s="262"/>
      <c r="UPQ78" s="262"/>
      <c r="UPR78" s="262"/>
      <c r="UPS78" s="262"/>
      <c r="UPT78" s="262"/>
      <c r="UPU78" s="262"/>
      <c r="UPV78" s="262"/>
      <c r="UPW78" s="262"/>
      <c r="UPX78" s="262"/>
      <c r="UPY78" s="262"/>
      <c r="UPZ78" s="262"/>
      <c r="UQA78" s="262"/>
      <c r="UQB78" s="262"/>
      <c r="UQC78" s="262"/>
      <c r="UQD78" s="262"/>
      <c r="UQE78" s="262"/>
      <c r="UQF78" s="262"/>
      <c r="UQG78" s="262"/>
      <c r="UQH78" s="262"/>
      <c r="UQI78" s="262"/>
      <c r="UQJ78" s="262"/>
      <c r="UQK78" s="262"/>
      <c r="UQL78" s="262"/>
      <c r="UQM78" s="262"/>
      <c r="UQN78" s="262"/>
      <c r="UQO78" s="262"/>
      <c r="UQP78" s="262"/>
      <c r="UQQ78" s="262"/>
      <c r="UQR78" s="262"/>
      <c r="UQS78" s="262"/>
      <c r="UQT78" s="262"/>
      <c r="UQU78" s="262"/>
      <c r="UQV78" s="262"/>
      <c r="UQW78" s="262"/>
      <c r="UQX78" s="262"/>
      <c r="UQY78" s="262"/>
      <c r="UQZ78" s="262"/>
      <c r="URA78" s="262"/>
      <c r="URB78" s="262"/>
      <c r="URC78" s="262"/>
      <c r="URD78" s="262"/>
      <c r="URE78" s="262"/>
      <c r="URF78" s="262"/>
      <c r="URG78" s="262"/>
      <c r="URH78" s="262"/>
      <c r="URI78" s="262"/>
      <c r="URJ78" s="262"/>
      <c r="URK78" s="262"/>
      <c r="URL78" s="262"/>
      <c r="URM78" s="262"/>
      <c r="URN78" s="262"/>
      <c r="URO78" s="262"/>
      <c r="URP78" s="262"/>
      <c r="URQ78" s="262"/>
      <c r="URR78" s="262"/>
      <c r="URS78" s="262"/>
      <c r="URT78" s="262"/>
      <c r="URU78" s="262"/>
      <c r="URV78" s="262"/>
      <c r="URW78" s="262"/>
      <c r="URX78" s="262"/>
      <c r="URY78" s="262"/>
      <c r="URZ78" s="262"/>
      <c r="USA78" s="262"/>
      <c r="USB78" s="262"/>
      <c r="USC78" s="262"/>
      <c r="USD78" s="262"/>
      <c r="USE78" s="262"/>
      <c r="USF78" s="262"/>
      <c r="USG78" s="262"/>
      <c r="USH78" s="262"/>
      <c r="USI78" s="262"/>
      <c r="USJ78" s="262"/>
      <c r="USK78" s="262"/>
      <c r="USL78" s="262"/>
      <c r="USM78" s="262"/>
      <c r="USN78" s="262"/>
      <c r="USO78" s="262"/>
      <c r="USP78" s="262"/>
      <c r="USQ78" s="262"/>
      <c r="USR78" s="262"/>
      <c r="USS78" s="262"/>
      <c r="UST78" s="262"/>
      <c r="USU78" s="262"/>
      <c r="USV78" s="262"/>
      <c r="USW78" s="262"/>
      <c r="USX78" s="262"/>
      <c r="USY78" s="262"/>
      <c r="USZ78" s="262"/>
      <c r="UTA78" s="262"/>
      <c r="UTB78" s="262"/>
      <c r="UTC78" s="262"/>
      <c r="UTD78" s="262"/>
      <c r="UTE78" s="262"/>
      <c r="UTF78" s="262"/>
      <c r="UTG78" s="262"/>
      <c r="UTH78" s="262"/>
      <c r="UTI78" s="262"/>
      <c r="UTJ78" s="262"/>
      <c r="UTK78" s="262"/>
      <c r="UTL78" s="262"/>
      <c r="UTM78" s="262"/>
      <c r="UTN78" s="262"/>
      <c r="UTO78" s="262"/>
      <c r="UTP78" s="262"/>
      <c r="UTQ78" s="262"/>
      <c r="UTR78" s="262"/>
      <c r="UTS78" s="262"/>
      <c r="UTT78" s="262"/>
      <c r="UTU78" s="262"/>
      <c r="UTV78" s="262"/>
      <c r="UTW78" s="262"/>
      <c r="UTX78" s="262"/>
      <c r="UTY78" s="262"/>
      <c r="UTZ78" s="262"/>
      <c r="UUA78" s="262"/>
      <c r="UUB78" s="262"/>
      <c r="UUC78" s="262"/>
      <c r="UUD78" s="262"/>
      <c r="UUE78" s="262"/>
      <c r="UUF78" s="262"/>
      <c r="UUG78" s="262"/>
      <c r="UUH78" s="262"/>
      <c r="UUI78" s="262"/>
      <c r="UUJ78" s="262"/>
      <c r="UUK78" s="262"/>
      <c r="UUL78" s="262"/>
      <c r="UUM78" s="262"/>
      <c r="UUN78" s="262"/>
      <c r="UUO78" s="262"/>
      <c r="UUP78" s="262"/>
      <c r="UUQ78" s="262"/>
      <c r="UUR78" s="262"/>
      <c r="UUS78" s="262"/>
      <c r="UUT78" s="262"/>
      <c r="UUU78" s="262"/>
      <c r="UUV78" s="262"/>
      <c r="UUW78" s="262"/>
      <c r="UUX78" s="262"/>
      <c r="UUY78" s="262"/>
      <c r="UUZ78" s="262"/>
      <c r="UVA78" s="262"/>
      <c r="UVB78" s="262"/>
      <c r="UVC78" s="262"/>
      <c r="UVD78" s="262"/>
      <c r="UVE78" s="262"/>
      <c r="UVF78" s="262"/>
      <c r="UVG78" s="262"/>
      <c r="UVH78" s="262"/>
      <c r="UVI78" s="262"/>
      <c r="UVJ78" s="262"/>
      <c r="UVK78" s="262"/>
      <c r="UVL78" s="262"/>
      <c r="UVM78" s="262"/>
      <c r="UVN78" s="262"/>
      <c r="UVO78" s="262"/>
      <c r="UVP78" s="262"/>
      <c r="UVQ78" s="262"/>
      <c r="UVR78" s="262"/>
      <c r="UVS78" s="262"/>
      <c r="UVT78" s="262"/>
      <c r="UVU78" s="262"/>
      <c r="UVV78" s="262"/>
      <c r="UVW78" s="262"/>
      <c r="UVX78" s="262"/>
      <c r="UVY78" s="262"/>
      <c r="UVZ78" s="262"/>
      <c r="UWA78" s="262"/>
      <c r="UWB78" s="262"/>
      <c r="UWC78" s="262"/>
      <c r="UWD78" s="262"/>
      <c r="UWE78" s="262"/>
      <c r="UWF78" s="262"/>
      <c r="UWG78" s="262"/>
      <c r="UWH78" s="262"/>
      <c r="UWI78" s="262"/>
      <c r="UWJ78" s="262"/>
      <c r="UWK78" s="262"/>
      <c r="UWL78" s="262"/>
      <c r="UWM78" s="262"/>
      <c r="UWN78" s="262"/>
      <c r="UWO78" s="262"/>
      <c r="UWP78" s="262"/>
      <c r="UWQ78" s="262"/>
      <c r="UWR78" s="262"/>
      <c r="UWS78" s="262"/>
      <c r="UWT78" s="262"/>
      <c r="UWU78" s="262"/>
      <c r="UWV78" s="262"/>
      <c r="UWW78" s="262"/>
      <c r="UWX78" s="262"/>
      <c r="UWY78" s="262"/>
      <c r="UWZ78" s="262"/>
      <c r="UXA78" s="262"/>
      <c r="UXB78" s="262"/>
      <c r="UXC78" s="262"/>
      <c r="UXD78" s="262"/>
      <c r="UXE78" s="262"/>
      <c r="UXF78" s="262"/>
      <c r="UXG78" s="262"/>
      <c r="UXH78" s="262"/>
      <c r="UXI78" s="262"/>
      <c r="UXJ78" s="262"/>
      <c r="UXK78" s="262"/>
      <c r="UXL78" s="262"/>
      <c r="UXM78" s="262"/>
      <c r="UXN78" s="262"/>
      <c r="UXO78" s="262"/>
      <c r="UXP78" s="262"/>
      <c r="UXQ78" s="262"/>
      <c r="UXR78" s="262"/>
      <c r="UXS78" s="262"/>
      <c r="UXT78" s="262"/>
      <c r="UXU78" s="262"/>
      <c r="UXV78" s="262"/>
      <c r="UXW78" s="262"/>
      <c r="UXX78" s="262"/>
      <c r="UXY78" s="262"/>
      <c r="UXZ78" s="262"/>
      <c r="UYA78" s="262"/>
      <c r="UYB78" s="262"/>
      <c r="UYC78" s="262"/>
      <c r="UYD78" s="262"/>
      <c r="UYE78" s="262"/>
      <c r="UYF78" s="262"/>
      <c r="UYG78" s="262"/>
      <c r="UYH78" s="262"/>
      <c r="UYI78" s="262"/>
      <c r="UYJ78" s="262"/>
      <c r="UYK78" s="262"/>
      <c r="UYL78" s="262"/>
      <c r="UYM78" s="262"/>
      <c r="UYN78" s="262"/>
      <c r="UYO78" s="262"/>
      <c r="UYP78" s="262"/>
      <c r="UYQ78" s="262"/>
      <c r="UYR78" s="262"/>
      <c r="UYS78" s="262"/>
      <c r="UYT78" s="262"/>
      <c r="UYU78" s="262"/>
      <c r="UYV78" s="262"/>
      <c r="UYW78" s="262"/>
      <c r="UYX78" s="262"/>
      <c r="UYY78" s="262"/>
      <c r="UYZ78" s="262"/>
      <c r="UZA78" s="262"/>
      <c r="UZB78" s="262"/>
      <c r="UZC78" s="262"/>
      <c r="UZD78" s="262"/>
      <c r="UZE78" s="262"/>
      <c r="UZF78" s="262"/>
      <c r="UZG78" s="262"/>
      <c r="UZH78" s="262"/>
      <c r="UZI78" s="262"/>
      <c r="UZJ78" s="262"/>
      <c r="UZK78" s="262"/>
      <c r="UZL78" s="262"/>
      <c r="UZM78" s="262"/>
      <c r="UZN78" s="262"/>
      <c r="UZO78" s="262"/>
      <c r="UZP78" s="262"/>
      <c r="UZQ78" s="262"/>
      <c r="UZR78" s="262"/>
      <c r="UZS78" s="262"/>
      <c r="UZT78" s="262"/>
      <c r="UZU78" s="262"/>
      <c r="UZV78" s="262"/>
      <c r="UZW78" s="262"/>
      <c r="UZX78" s="262"/>
      <c r="UZY78" s="262"/>
      <c r="UZZ78" s="262"/>
      <c r="VAA78" s="262"/>
      <c r="VAB78" s="262"/>
      <c r="VAC78" s="262"/>
      <c r="VAD78" s="262"/>
      <c r="VAE78" s="262"/>
      <c r="VAF78" s="262"/>
      <c r="VAG78" s="262"/>
      <c r="VAH78" s="262"/>
      <c r="VAI78" s="262"/>
      <c r="VAJ78" s="262"/>
      <c r="VAK78" s="262"/>
      <c r="VAL78" s="262"/>
      <c r="VAM78" s="262"/>
      <c r="VAN78" s="262"/>
      <c r="VAO78" s="262"/>
      <c r="VAP78" s="262"/>
      <c r="VAQ78" s="262"/>
      <c r="VAR78" s="262"/>
      <c r="VAS78" s="262"/>
      <c r="VAT78" s="262"/>
      <c r="VAU78" s="262"/>
      <c r="VAV78" s="262"/>
      <c r="VAW78" s="262"/>
      <c r="VAX78" s="262"/>
      <c r="VAY78" s="262"/>
      <c r="VAZ78" s="262"/>
      <c r="VBA78" s="262"/>
      <c r="VBB78" s="262"/>
      <c r="VBC78" s="262"/>
      <c r="VBD78" s="262"/>
      <c r="VBE78" s="262"/>
      <c r="VBF78" s="262"/>
      <c r="VBG78" s="262"/>
      <c r="VBH78" s="262"/>
      <c r="VBI78" s="262"/>
      <c r="VBJ78" s="262"/>
      <c r="VBK78" s="262"/>
      <c r="VBL78" s="262"/>
      <c r="VBM78" s="262"/>
      <c r="VBN78" s="262"/>
      <c r="VBO78" s="262"/>
      <c r="VBP78" s="262"/>
      <c r="VBQ78" s="262"/>
      <c r="VBR78" s="262"/>
      <c r="VBS78" s="262"/>
      <c r="VBT78" s="262"/>
      <c r="VBU78" s="262"/>
      <c r="VBV78" s="262"/>
      <c r="VBW78" s="262"/>
      <c r="VBX78" s="262"/>
      <c r="VBY78" s="262"/>
      <c r="VBZ78" s="262"/>
      <c r="VCA78" s="262"/>
      <c r="VCB78" s="262"/>
      <c r="VCC78" s="262"/>
      <c r="VCD78" s="262"/>
      <c r="VCE78" s="262"/>
      <c r="VCF78" s="262"/>
      <c r="VCG78" s="262"/>
      <c r="VCH78" s="262"/>
      <c r="VCI78" s="262"/>
      <c r="VCJ78" s="262"/>
      <c r="VCK78" s="262"/>
      <c r="VCL78" s="262"/>
      <c r="VCM78" s="262"/>
      <c r="VCN78" s="262"/>
      <c r="VCO78" s="262"/>
      <c r="VCP78" s="262"/>
      <c r="VCQ78" s="262"/>
      <c r="VCR78" s="262"/>
      <c r="VCS78" s="262"/>
      <c r="VCT78" s="262"/>
      <c r="VCU78" s="262"/>
      <c r="VCV78" s="262"/>
      <c r="VCW78" s="262"/>
      <c r="VCX78" s="262"/>
      <c r="VCY78" s="262"/>
      <c r="VCZ78" s="262"/>
      <c r="VDA78" s="262"/>
      <c r="VDB78" s="262"/>
      <c r="VDC78" s="262"/>
      <c r="VDD78" s="262"/>
      <c r="VDE78" s="262"/>
      <c r="VDF78" s="262"/>
      <c r="VDG78" s="262"/>
      <c r="VDH78" s="262"/>
      <c r="VDI78" s="262"/>
      <c r="VDJ78" s="262"/>
      <c r="VDK78" s="262"/>
      <c r="VDL78" s="262"/>
      <c r="VDM78" s="262"/>
      <c r="VDN78" s="262"/>
      <c r="VDO78" s="262"/>
      <c r="VDP78" s="262"/>
      <c r="VDQ78" s="262"/>
      <c r="VDR78" s="262"/>
      <c r="VDS78" s="262"/>
      <c r="VDT78" s="262"/>
      <c r="VDU78" s="262"/>
      <c r="VDV78" s="262"/>
      <c r="VDW78" s="262"/>
      <c r="VDX78" s="262"/>
      <c r="VDY78" s="262"/>
      <c r="VDZ78" s="262"/>
      <c r="VEA78" s="262"/>
      <c r="VEB78" s="262"/>
      <c r="VEC78" s="262"/>
      <c r="VED78" s="262"/>
      <c r="VEE78" s="262"/>
      <c r="VEF78" s="262"/>
      <c r="VEG78" s="262"/>
      <c r="VEH78" s="262"/>
      <c r="VEI78" s="262"/>
      <c r="VEJ78" s="262"/>
      <c r="VEK78" s="262"/>
      <c r="VEL78" s="262"/>
      <c r="VEM78" s="262"/>
      <c r="VEN78" s="262"/>
      <c r="VEO78" s="262"/>
      <c r="VEP78" s="262"/>
      <c r="VEQ78" s="262"/>
      <c r="VER78" s="262"/>
      <c r="VES78" s="262"/>
      <c r="VET78" s="262"/>
      <c r="VEU78" s="262"/>
      <c r="VEV78" s="262"/>
      <c r="VEW78" s="262"/>
      <c r="VEX78" s="262"/>
      <c r="VEY78" s="262"/>
      <c r="VEZ78" s="262"/>
      <c r="VFA78" s="262"/>
      <c r="VFB78" s="262"/>
      <c r="VFC78" s="262"/>
      <c r="VFD78" s="262"/>
      <c r="VFE78" s="262"/>
      <c r="VFF78" s="262"/>
      <c r="VFG78" s="262"/>
      <c r="VFH78" s="262"/>
      <c r="VFI78" s="262"/>
      <c r="VFJ78" s="262"/>
      <c r="VFK78" s="262"/>
      <c r="VFL78" s="262"/>
      <c r="VFM78" s="262"/>
      <c r="VFN78" s="262"/>
      <c r="VFO78" s="262"/>
      <c r="VFP78" s="262"/>
      <c r="VFQ78" s="262"/>
      <c r="VFR78" s="262"/>
      <c r="VFS78" s="262"/>
      <c r="VFT78" s="262"/>
      <c r="VFU78" s="262"/>
      <c r="VFV78" s="262"/>
      <c r="VFW78" s="262"/>
      <c r="VFX78" s="262"/>
      <c r="VFY78" s="262"/>
      <c r="VFZ78" s="262"/>
      <c r="VGA78" s="262"/>
      <c r="VGB78" s="262"/>
      <c r="VGC78" s="262"/>
      <c r="VGD78" s="262"/>
      <c r="VGE78" s="262"/>
      <c r="VGF78" s="262"/>
      <c r="VGG78" s="262"/>
      <c r="VGH78" s="262"/>
      <c r="VGI78" s="262"/>
      <c r="VGJ78" s="262"/>
      <c r="VGK78" s="262"/>
      <c r="VGL78" s="262"/>
      <c r="VGM78" s="262"/>
      <c r="VGN78" s="262"/>
      <c r="VGO78" s="262"/>
      <c r="VGP78" s="262"/>
      <c r="VGQ78" s="262"/>
      <c r="VGR78" s="262"/>
      <c r="VGS78" s="262"/>
      <c r="VGT78" s="262"/>
      <c r="VGU78" s="262"/>
      <c r="VGV78" s="262"/>
      <c r="VGW78" s="262"/>
      <c r="VGX78" s="262"/>
      <c r="VGY78" s="262"/>
      <c r="VGZ78" s="262"/>
      <c r="VHA78" s="262"/>
      <c r="VHB78" s="262"/>
      <c r="VHC78" s="262"/>
      <c r="VHD78" s="262"/>
      <c r="VHE78" s="262"/>
      <c r="VHF78" s="262"/>
      <c r="VHG78" s="262"/>
      <c r="VHH78" s="262"/>
      <c r="VHI78" s="262"/>
      <c r="VHJ78" s="262"/>
      <c r="VHK78" s="262"/>
      <c r="VHL78" s="262"/>
      <c r="VHM78" s="262"/>
      <c r="VHN78" s="262"/>
      <c r="VHO78" s="262"/>
      <c r="VHP78" s="262"/>
      <c r="VHQ78" s="262"/>
      <c r="VHR78" s="262"/>
      <c r="VHS78" s="262"/>
      <c r="VHT78" s="262"/>
      <c r="VHU78" s="262"/>
      <c r="VHV78" s="262"/>
      <c r="VHW78" s="262"/>
      <c r="VHX78" s="262"/>
      <c r="VHY78" s="262"/>
      <c r="VHZ78" s="262"/>
      <c r="VIA78" s="262"/>
      <c r="VIB78" s="262"/>
      <c r="VIC78" s="262"/>
      <c r="VID78" s="262"/>
      <c r="VIE78" s="262"/>
      <c r="VIF78" s="262"/>
      <c r="VIG78" s="262"/>
      <c r="VIH78" s="262"/>
      <c r="VII78" s="262"/>
      <c r="VIJ78" s="262"/>
      <c r="VIK78" s="262"/>
      <c r="VIL78" s="262"/>
      <c r="VIM78" s="262"/>
      <c r="VIN78" s="262"/>
      <c r="VIO78" s="262"/>
      <c r="VIP78" s="262"/>
      <c r="VIQ78" s="262"/>
      <c r="VIR78" s="262"/>
      <c r="VIS78" s="262"/>
      <c r="VIT78" s="262"/>
      <c r="VIU78" s="262"/>
      <c r="VIV78" s="262"/>
      <c r="VIW78" s="262"/>
      <c r="VIX78" s="262"/>
      <c r="VIY78" s="262"/>
      <c r="VIZ78" s="262"/>
      <c r="VJA78" s="262"/>
      <c r="VJB78" s="262"/>
      <c r="VJC78" s="262"/>
      <c r="VJD78" s="262"/>
      <c r="VJE78" s="262"/>
      <c r="VJF78" s="262"/>
      <c r="VJG78" s="262"/>
      <c r="VJH78" s="262"/>
      <c r="VJI78" s="262"/>
      <c r="VJJ78" s="262"/>
      <c r="VJK78" s="262"/>
      <c r="VJL78" s="262"/>
      <c r="VJM78" s="262"/>
      <c r="VJN78" s="262"/>
      <c r="VJO78" s="262"/>
      <c r="VJP78" s="262"/>
      <c r="VJQ78" s="262"/>
      <c r="VJR78" s="262"/>
      <c r="VJS78" s="262"/>
      <c r="VJT78" s="262"/>
      <c r="VJU78" s="262"/>
      <c r="VJV78" s="262"/>
      <c r="VJW78" s="262"/>
      <c r="VJX78" s="262"/>
      <c r="VJY78" s="262"/>
      <c r="VJZ78" s="262"/>
      <c r="VKA78" s="262"/>
      <c r="VKB78" s="262"/>
      <c r="VKC78" s="262"/>
      <c r="VKD78" s="262"/>
      <c r="VKE78" s="262"/>
      <c r="VKF78" s="262"/>
      <c r="VKG78" s="262"/>
      <c r="VKH78" s="262"/>
      <c r="VKI78" s="262"/>
      <c r="VKJ78" s="262"/>
      <c r="VKK78" s="262"/>
      <c r="VKL78" s="262"/>
      <c r="VKM78" s="262"/>
      <c r="VKN78" s="262"/>
      <c r="VKO78" s="262"/>
      <c r="VKP78" s="262"/>
      <c r="VKQ78" s="262"/>
      <c r="VKR78" s="262"/>
      <c r="VKS78" s="262"/>
      <c r="VKT78" s="262"/>
      <c r="VKU78" s="262"/>
      <c r="VKV78" s="262"/>
      <c r="VKW78" s="262"/>
      <c r="VKX78" s="262"/>
      <c r="VKY78" s="262"/>
      <c r="VKZ78" s="262"/>
      <c r="VLA78" s="262"/>
      <c r="VLB78" s="262"/>
      <c r="VLC78" s="262"/>
      <c r="VLD78" s="262"/>
      <c r="VLE78" s="262"/>
      <c r="VLF78" s="262"/>
      <c r="VLG78" s="262"/>
      <c r="VLH78" s="262"/>
      <c r="VLI78" s="262"/>
      <c r="VLJ78" s="262"/>
      <c r="VLK78" s="262"/>
      <c r="VLL78" s="262"/>
      <c r="VLM78" s="262"/>
      <c r="VLN78" s="262"/>
      <c r="VLO78" s="262"/>
      <c r="VLP78" s="262"/>
      <c r="VLQ78" s="262"/>
      <c r="VLR78" s="262"/>
      <c r="VLS78" s="262"/>
      <c r="VLT78" s="262"/>
      <c r="VLU78" s="262"/>
      <c r="VLV78" s="262"/>
      <c r="VLW78" s="262"/>
      <c r="VLX78" s="262"/>
      <c r="VLY78" s="262"/>
      <c r="VLZ78" s="262"/>
      <c r="VMA78" s="262"/>
      <c r="VMB78" s="262"/>
      <c r="VMC78" s="262"/>
      <c r="VMD78" s="262"/>
      <c r="VME78" s="262"/>
      <c r="VMF78" s="262"/>
      <c r="VMG78" s="262"/>
      <c r="VMH78" s="262"/>
      <c r="VMI78" s="262"/>
      <c r="VMJ78" s="262"/>
      <c r="VMK78" s="262"/>
      <c r="VML78" s="262"/>
      <c r="VMM78" s="262"/>
      <c r="VMN78" s="262"/>
      <c r="VMO78" s="262"/>
      <c r="VMP78" s="262"/>
      <c r="VMQ78" s="262"/>
      <c r="VMR78" s="262"/>
      <c r="VMS78" s="262"/>
      <c r="VMT78" s="262"/>
      <c r="VMU78" s="262"/>
      <c r="VMV78" s="262"/>
      <c r="VMW78" s="262"/>
      <c r="VMX78" s="262"/>
      <c r="VMY78" s="262"/>
      <c r="VMZ78" s="262"/>
      <c r="VNA78" s="262"/>
      <c r="VNB78" s="262"/>
      <c r="VNC78" s="262"/>
      <c r="VND78" s="262"/>
      <c r="VNE78" s="262"/>
      <c r="VNF78" s="262"/>
      <c r="VNG78" s="262"/>
      <c r="VNH78" s="262"/>
      <c r="VNI78" s="262"/>
      <c r="VNJ78" s="262"/>
      <c r="VNK78" s="262"/>
      <c r="VNL78" s="262"/>
      <c r="VNM78" s="262"/>
      <c r="VNN78" s="262"/>
      <c r="VNO78" s="262"/>
      <c r="VNP78" s="262"/>
      <c r="VNQ78" s="262"/>
      <c r="VNR78" s="262"/>
      <c r="VNS78" s="262"/>
      <c r="VNT78" s="262"/>
      <c r="VNU78" s="262"/>
      <c r="VNV78" s="262"/>
      <c r="VNW78" s="262"/>
      <c r="VNX78" s="262"/>
      <c r="VNY78" s="262"/>
      <c r="VNZ78" s="262"/>
      <c r="VOA78" s="262"/>
      <c r="VOB78" s="262"/>
      <c r="VOC78" s="262"/>
      <c r="VOD78" s="262"/>
      <c r="VOE78" s="262"/>
      <c r="VOF78" s="262"/>
      <c r="VOG78" s="262"/>
      <c r="VOH78" s="262"/>
      <c r="VOI78" s="262"/>
      <c r="VOJ78" s="262"/>
      <c r="VOK78" s="262"/>
      <c r="VOL78" s="262"/>
      <c r="VOM78" s="262"/>
      <c r="VON78" s="262"/>
      <c r="VOO78" s="262"/>
      <c r="VOP78" s="262"/>
      <c r="VOQ78" s="262"/>
      <c r="VOR78" s="262"/>
      <c r="VOS78" s="262"/>
      <c r="VOT78" s="262"/>
      <c r="VOU78" s="262"/>
      <c r="VOV78" s="262"/>
      <c r="VOW78" s="262"/>
      <c r="VOX78" s="262"/>
      <c r="VOY78" s="262"/>
      <c r="VOZ78" s="262"/>
      <c r="VPA78" s="262"/>
      <c r="VPB78" s="262"/>
      <c r="VPC78" s="262"/>
      <c r="VPD78" s="262"/>
      <c r="VPE78" s="262"/>
      <c r="VPF78" s="262"/>
      <c r="VPG78" s="262"/>
      <c r="VPH78" s="262"/>
      <c r="VPI78" s="262"/>
      <c r="VPJ78" s="262"/>
      <c r="VPK78" s="262"/>
      <c r="VPL78" s="262"/>
      <c r="VPM78" s="262"/>
      <c r="VPN78" s="262"/>
      <c r="VPO78" s="262"/>
      <c r="VPP78" s="262"/>
      <c r="VPQ78" s="262"/>
      <c r="VPR78" s="262"/>
      <c r="VPS78" s="262"/>
      <c r="VPT78" s="262"/>
      <c r="VPU78" s="262"/>
      <c r="VPV78" s="262"/>
      <c r="VPW78" s="262"/>
      <c r="VPX78" s="262"/>
      <c r="VPY78" s="262"/>
      <c r="VPZ78" s="262"/>
      <c r="VQA78" s="262"/>
      <c r="VQB78" s="262"/>
      <c r="VQC78" s="262"/>
      <c r="VQD78" s="262"/>
      <c r="VQE78" s="262"/>
      <c r="VQF78" s="262"/>
      <c r="VQG78" s="262"/>
      <c r="VQH78" s="262"/>
      <c r="VQI78" s="262"/>
      <c r="VQJ78" s="262"/>
      <c r="VQK78" s="262"/>
      <c r="VQL78" s="262"/>
      <c r="VQM78" s="262"/>
      <c r="VQN78" s="262"/>
      <c r="VQO78" s="262"/>
      <c r="VQP78" s="262"/>
      <c r="VQQ78" s="262"/>
      <c r="VQR78" s="262"/>
      <c r="VQS78" s="262"/>
      <c r="VQT78" s="262"/>
      <c r="VQU78" s="262"/>
      <c r="VQV78" s="262"/>
      <c r="VQW78" s="262"/>
      <c r="VQX78" s="262"/>
      <c r="VQY78" s="262"/>
      <c r="VQZ78" s="262"/>
      <c r="VRA78" s="262"/>
      <c r="VRB78" s="262"/>
      <c r="VRC78" s="262"/>
      <c r="VRD78" s="262"/>
      <c r="VRE78" s="262"/>
      <c r="VRF78" s="262"/>
      <c r="VRG78" s="262"/>
      <c r="VRH78" s="262"/>
      <c r="VRI78" s="262"/>
      <c r="VRJ78" s="262"/>
      <c r="VRK78" s="262"/>
      <c r="VRL78" s="262"/>
      <c r="VRM78" s="262"/>
      <c r="VRN78" s="262"/>
      <c r="VRO78" s="262"/>
      <c r="VRP78" s="262"/>
      <c r="VRQ78" s="262"/>
      <c r="VRR78" s="262"/>
      <c r="VRS78" s="262"/>
      <c r="VRT78" s="262"/>
      <c r="VRU78" s="262"/>
      <c r="VRV78" s="262"/>
      <c r="VRW78" s="262"/>
      <c r="VRX78" s="262"/>
      <c r="VRY78" s="262"/>
      <c r="VRZ78" s="262"/>
      <c r="VSA78" s="262"/>
      <c r="VSB78" s="262"/>
      <c r="VSC78" s="262"/>
      <c r="VSD78" s="262"/>
      <c r="VSE78" s="262"/>
      <c r="VSF78" s="262"/>
      <c r="VSG78" s="262"/>
      <c r="VSH78" s="262"/>
      <c r="VSI78" s="262"/>
      <c r="VSJ78" s="262"/>
      <c r="VSK78" s="262"/>
      <c r="VSL78" s="262"/>
      <c r="VSM78" s="262"/>
      <c r="VSN78" s="262"/>
      <c r="VSO78" s="262"/>
      <c r="VSP78" s="262"/>
      <c r="VSQ78" s="262"/>
      <c r="VSR78" s="262"/>
      <c r="VSS78" s="262"/>
      <c r="VST78" s="262"/>
      <c r="VSU78" s="262"/>
      <c r="VSV78" s="262"/>
      <c r="VSW78" s="262"/>
      <c r="VSX78" s="262"/>
      <c r="VSY78" s="262"/>
      <c r="VSZ78" s="262"/>
      <c r="VTA78" s="262"/>
      <c r="VTB78" s="262"/>
      <c r="VTC78" s="262"/>
      <c r="VTD78" s="262"/>
      <c r="VTE78" s="262"/>
      <c r="VTF78" s="262"/>
      <c r="VTG78" s="262"/>
      <c r="VTH78" s="262"/>
      <c r="VTI78" s="262"/>
      <c r="VTJ78" s="262"/>
      <c r="VTK78" s="262"/>
      <c r="VTL78" s="262"/>
      <c r="VTM78" s="262"/>
      <c r="VTN78" s="262"/>
      <c r="VTO78" s="262"/>
      <c r="VTP78" s="262"/>
      <c r="VTQ78" s="262"/>
      <c r="VTR78" s="262"/>
      <c r="VTS78" s="262"/>
      <c r="VTT78" s="262"/>
      <c r="VTU78" s="262"/>
      <c r="VTV78" s="262"/>
      <c r="VTW78" s="262"/>
      <c r="VTX78" s="262"/>
      <c r="VTY78" s="262"/>
      <c r="VTZ78" s="262"/>
      <c r="VUA78" s="262"/>
      <c r="VUB78" s="262"/>
      <c r="VUC78" s="262"/>
      <c r="VUD78" s="262"/>
      <c r="VUE78" s="262"/>
      <c r="VUF78" s="262"/>
      <c r="VUG78" s="262"/>
      <c r="VUH78" s="262"/>
      <c r="VUI78" s="262"/>
      <c r="VUJ78" s="262"/>
      <c r="VUK78" s="262"/>
      <c r="VUL78" s="262"/>
      <c r="VUM78" s="262"/>
      <c r="VUN78" s="262"/>
      <c r="VUO78" s="262"/>
      <c r="VUP78" s="262"/>
      <c r="VUQ78" s="262"/>
      <c r="VUR78" s="262"/>
      <c r="VUS78" s="262"/>
      <c r="VUT78" s="262"/>
      <c r="VUU78" s="262"/>
      <c r="VUV78" s="262"/>
      <c r="VUW78" s="262"/>
      <c r="VUX78" s="262"/>
      <c r="VUY78" s="262"/>
      <c r="VUZ78" s="262"/>
      <c r="VVA78" s="262"/>
      <c r="VVB78" s="262"/>
      <c r="VVC78" s="262"/>
      <c r="VVD78" s="262"/>
      <c r="VVE78" s="262"/>
      <c r="VVF78" s="262"/>
      <c r="VVG78" s="262"/>
      <c r="VVH78" s="262"/>
      <c r="VVI78" s="262"/>
      <c r="VVJ78" s="262"/>
      <c r="VVK78" s="262"/>
      <c r="VVL78" s="262"/>
      <c r="VVM78" s="262"/>
      <c r="VVN78" s="262"/>
      <c r="VVO78" s="262"/>
      <c r="VVP78" s="262"/>
      <c r="VVQ78" s="262"/>
      <c r="VVR78" s="262"/>
      <c r="VVS78" s="262"/>
      <c r="VVT78" s="262"/>
      <c r="VVU78" s="262"/>
      <c r="VVV78" s="262"/>
      <c r="VVW78" s="262"/>
      <c r="VVX78" s="262"/>
      <c r="VVY78" s="262"/>
      <c r="VVZ78" s="262"/>
      <c r="VWA78" s="262"/>
      <c r="VWB78" s="262"/>
      <c r="VWC78" s="262"/>
      <c r="VWD78" s="262"/>
      <c r="VWE78" s="262"/>
      <c r="VWF78" s="262"/>
      <c r="VWG78" s="262"/>
      <c r="VWH78" s="262"/>
      <c r="VWI78" s="262"/>
      <c r="VWJ78" s="262"/>
      <c r="VWK78" s="262"/>
      <c r="VWL78" s="262"/>
      <c r="VWM78" s="262"/>
      <c r="VWN78" s="262"/>
      <c r="VWO78" s="262"/>
      <c r="VWP78" s="262"/>
      <c r="VWQ78" s="262"/>
      <c r="VWR78" s="262"/>
      <c r="VWS78" s="262"/>
      <c r="VWT78" s="262"/>
      <c r="VWU78" s="262"/>
      <c r="VWV78" s="262"/>
      <c r="VWW78" s="262"/>
      <c r="VWX78" s="262"/>
      <c r="VWY78" s="262"/>
      <c r="VWZ78" s="262"/>
      <c r="VXA78" s="262"/>
      <c r="VXB78" s="262"/>
      <c r="VXC78" s="262"/>
      <c r="VXD78" s="262"/>
      <c r="VXE78" s="262"/>
      <c r="VXF78" s="262"/>
      <c r="VXG78" s="262"/>
      <c r="VXH78" s="262"/>
      <c r="VXI78" s="262"/>
      <c r="VXJ78" s="262"/>
      <c r="VXK78" s="262"/>
      <c r="VXL78" s="262"/>
      <c r="VXM78" s="262"/>
      <c r="VXN78" s="262"/>
      <c r="VXO78" s="262"/>
      <c r="VXP78" s="262"/>
      <c r="VXQ78" s="262"/>
      <c r="VXR78" s="262"/>
      <c r="VXS78" s="262"/>
      <c r="VXT78" s="262"/>
      <c r="VXU78" s="262"/>
      <c r="VXV78" s="262"/>
      <c r="VXW78" s="262"/>
      <c r="VXX78" s="262"/>
      <c r="VXY78" s="262"/>
      <c r="VXZ78" s="262"/>
      <c r="VYA78" s="262"/>
      <c r="VYB78" s="262"/>
      <c r="VYC78" s="262"/>
      <c r="VYD78" s="262"/>
      <c r="VYE78" s="262"/>
      <c r="VYF78" s="262"/>
      <c r="VYG78" s="262"/>
      <c r="VYH78" s="262"/>
      <c r="VYI78" s="262"/>
      <c r="VYJ78" s="262"/>
      <c r="VYK78" s="262"/>
      <c r="VYL78" s="262"/>
      <c r="VYM78" s="262"/>
      <c r="VYN78" s="262"/>
      <c r="VYO78" s="262"/>
      <c r="VYP78" s="262"/>
      <c r="VYQ78" s="262"/>
      <c r="VYR78" s="262"/>
      <c r="VYS78" s="262"/>
      <c r="VYT78" s="262"/>
      <c r="VYU78" s="262"/>
      <c r="VYV78" s="262"/>
      <c r="VYW78" s="262"/>
      <c r="VYX78" s="262"/>
      <c r="VYY78" s="262"/>
      <c r="VYZ78" s="262"/>
      <c r="VZA78" s="262"/>
      <c r="VZB78" s="262"/>
      <c r="VZC78" s="262"/>
      <c r="VZD78" s="262"/>
      <c r="VZE78" s="262"/>
      <c r="VZF78" s="262"/>
      <c r="VZG78" s="262"/>
      <c r="VZH78" s="262"/>
      <c r="VZI78" s="262"/>
      <c r="VZJ78" s="262"/>
      <c r="VZK78" s="262"/>
      <c r="VZL78" s="262"/>
      <c r="VZM78" s="262"/>
      <c r="VZN78" s="262"/>
      <c r="VZO78" s="262"/>
      <c r="VZP78" s="262"/>
      <c r="VZQ78" s="262"/>
      <c r="VZR78" s="262"/>
      <c r="VZS78" s="262"/>
      <c r="VZT78" s="262"/>
      <c r="VZU78" s="262"/>
      <c r="VZV78" s="262"/>
      <c r="VZW78" s="262"/>
      <c r="VZX78" s="262"/>
      <c r="VZY78" s="262"/>
      <c r="VZZ78" s="262"/>
      <c r="WAA78" s="262"/>
      <c r="WAB78" s="262"/>
      <c r="WAC78" s="262"/>
      <c r="WAD78" s="262"/>
      <c r="WAE78" s="262"/>
      <c r="WAF78" s="262"/>
      <c r="WAG78" s="262"/>
      <c r="WAH78" s="262"/>
      <c r="WAI78" s="262"/>
      <c r="WAJ78" s="262"/>
      <c r="WAK78" s="262"/>
      <c r="WAL78" s="262"/>
      <c r="WAM78" s="262"/>
      <c r="WAN78" s="262"/>
      <c r="WAO78" s="262"/>
      <c r="WAP78" s="262"/>
      <c r="WAQ78" s="262"/>
      <c r="WAR78" s="262"/>
      <c r="WAS78" s="262"/>
      <c r="WAT78" s="262"/>
      <c r="WAU78" s="262"/>
      <c r="WAV78" s="262"/>
      <c r="WAW78" s="262"/>
      <c r="WAX78" s="262"/>
      <c r="WAY78" s="262"/>
      <c r="WAZ78" s="262"/>
      <c r="WBA78" s="262"/>
      <c r="WBB78" s="262"/>
      <c r="WBC78" s="262"/>
      <c r="WBD78" s="262"/>
      <c r="WBE78" s="262"/>
      <c r="WBF78" s="262"/>
      <c r="WBG78" s="262"/>
      <c r="WBH78" s="262"/>
      <c r="WBI78" s="262"/>
      <c r="WBJ78" s="262"/>
      <c r="WBK78" s="262"/>
      <c r="WBL78" s="262"/>
      <c r="WBM78" s="262"/>
      <c r="WBN78" s="262"/>
      <c r="WBO78" s="262"/>
      <c r="WBP78" s="262"/>
      <c r="WBQ78" s="262"/>
      <c r="WBR78" s="262"/>
      <c r="WBS78" s="262"/>
      <c r="WBT78" s="262"/>
      <c r="WBU78" s="262"/>
      <c r="WBV78" s="262"/>
      <c r="WBW78" s="262"/>
      <c r="WBX78" s="262"/>
      <c r="WBY78" s="262"/>
      <c r="WBZ78" s="262"/>
      <c r="WCA78" s="262"/>
      <c r="WCB78" s="262"/>
      <c r="WCC78" s="262"/>
      <c r="WCD78" s="262"/>
      <c r="WCE78" s="262"/>
      <c r="WCF78" s="262"/>
      <c r="WCG78" s="262"/>
      <c r="WCH78" s="262"/>
      <c r="WCI78" s="262"/>
      <c r="WCJ78" s="262"/>
      <c r="WCK78" s="262"/>
      <c r="WCL78" s="262"/>
      <c r="WCM78" s="262"/>
      <c r="WCN78" s="262"/>
      <c r="WCO78" s="262"/>
      <c r="WCP78" s="262"/>
      <c r="WCQ78" s="262"/>
      <c r="WCR78" s="262"/>
      <c r="WCS78" s="262"/>
      <c r="WCT78" s="262"/>
      <c r="WCU78" s="262"/>
      <c r="WCV78" s="262"/>
      <c r="WCW78" s="262"/>
      <c r="WCX78" s="262"/>
      <c r="WCY78" s="262"/>
      <c r="WCZ78" s="262"/>
      <c r="WDA78" s="262"/>
      <c r="WDB78" s="262"/>
      <c r="WDC78" s="262"/>
      <c r="WDD78" s="262"/>
      <c r="WDE78" s="262"/>
      <c r="WDF78" s="262"/>
      <c r="WDG78" s="262"/>
      <c r="WDH78" s="262"/>
      <c r="WDI78" s="262"/>
      <c r="WDJ78" s="262"/>
      <c r="WDK78" s="262"/>
      <c r="WDL78" s="262"/>
      <c r="WDM78" s="262"/>
      <c r="WDN78" s="262"/>
      <c r="WDO78" s="262"/>
      <c r="WDP78" s="262"/>
      <c r="WDQ78" s="262"/>
      <c r="WDR78" s="262"/>
      <c r="WDS78" s="262"/>
      <c r="WDT78" s="262"/>
      <c r="WDU78" s="262"/>
      <c r="WDV78" s="262"/>
      <c r="WDW78" s="262"/>
      <c r="WDX78" s="262"/>
      <c r="WDY78" s="262"/>
      <c r="WDZ78" s="262"/>
      <c r="WEA78" s="262"/>
      <c r="WEB78" s="262"/>
      <c r="WEC78" s="262"/>
      <c r="WED78" s="262"/>
      <c r="WEE78" s="262"/>
      <c r="WEF78" s="262"/>
      <c r="WEG78" s="262"/>
      <c r="WEH78" s="262"/>
      <c r="WEI78" s="262"/>
      <c r="WEJ78" s="262"/>
      <c r="WEK78" s="262"/>
      <c r="WEL78" s="262"/>
      <c r="WEM78" s="262"/>
      <c r="WEN78" s="262"/>
      <c r="WEO78" s="262"/>
      <c r="WEP78" s="262"/>
      <c r="WEQ78" s="262"/>
      <c r="WER78" s="262"/>
      <c r="WES78" s="262"/>
      <c r="WET78" s="262"/>
      <c r="WEU78" s="262"/>
      <c r="WEV78" s="262"/>
      <c r="WEW78" s="262"/>
      <c r="WEX78" s="262"/>
      <c r="WEY78" s="262"/>
      <c r="WEZ78" s="262"/>
      <c r="WFA78" s="262"/>
      <c r="WFB78" s="262"/>
      <c r="WFC78" s="262"/>
      <c r="WFD78" s="262"/>
      <c r="WFE78" s="262"/>
      <c r="WFF78" s="262"/>
      <c r="WFG78" s="262"/>
      <c r="WFH78" s="262"/>
      <c r="WFI78" s="262"/>
      <c r="WFJ78" s="262"/>
      <c r="WFK78" s="262"/>
      <c r="WFL78" s="262"/>
      <c r="WFM78" s="262"/>
      <c r="WFN78" s="262"/>
      <c r="WFO78" s="262"/>
      <c r="WFP78" s="262"/>
      <c r="WFQ78" s="262"/>
      <c r="WFR78" s="262"/>
      <c r="WFS78" s="262"/>
      <c r="WFT78" s="262"/>
      <c r="WFU78" s="262"/>
      <c r="WFV78" s="262"/>
      <c r="WFW78" s="262"/>
      <c r="WFX78" s="262"/>
      <c r="WFY78" s="262"/>
      <c r="WFZ78" s="262"/>
      <c r="WGA78" s="262"/>
      <c r="WGB78" s="262"/>
      <c r="WGC78" s="262"/>
      <c r="WGD78" s="262"/>
      <c r="WGE78" s="262"/>
      <c r="WGF78" s="262"/>
      <c r="WGG78" s="262"/>
      <c r="WGH78" s="262"/>
      <c r="WGI78" s="262"/>
      <c r="WGJ78" s="262"/>
      <c r="WGK78" s="262"/>
      <c r="WGL78" s="262"/>
      <c r="WGM78" s="262"/>
      <c r="WGN78" s="262"/>
      <c r="WGO78" s="262"/>
      <c r="WGP78" s="262"/>
      <c r="WGQ78" s="262"/>
      <c r="WGR78" s="262"/>
      <c r="WGS78" s="262"/>
      <c r="WGT78" s="262"/>
      <c r="WGU78" s="262"/>
      <c r="WGV78" s="262"/>
      <c r="WGW78" s="262"/>
      <c r="WGX78" s="262"/>
      <c r="WGY78" s="262"/>
      <c r="WGZ78" s="262"/>
      <c r="WHA78" s="262"/>
      <c r="WHB78" s="262"/>
      <c r="WHC78" s="262"/>
      <c r="WHD78" s="262"/>
      <c r="WHE78" s="262"/>
      <c r="WHF78" s="262"/>
      <c r="WHG78" s="262"/>
      <c r="WHH78" s="262"/>
      <c r="WHI78" s="262"/>
      <c r="WHJ78" s="262"/>
      <c r="WHK78" s="262"/>
      <c r="WHL78" s="262"/>
      <c r="WHM78" s="262"/>
      <c r="WHN78" s="262"/>
      <c r="WHO78" s="262"/>
      <c r="WHP78" s="262"/>
      <c r="WHQ78" s="262"/>
      <c r="WHR78" s="262"/>
      <c r="WHS78" s="262"/>
      <c r="WHT78" s="262"/>
      <c r="WHU78" s="262"/>
      <c r="WHV78" s="262"/>
      <c r="WHW78" s="262"/>
      <c r="WHX78" s="262"/>
      <c r="WHY78" s="262"/>
      <c r="WHZ78" s="262"/>
      <c r="WIA78" s="262"/>
      <c r="WIB78" s="262"/>
      <c r="WIC78" s="262"/>
      <c r="WID78" s="262"/>
      <c r="WIE78" s="262"/>
      <c r="WIF78" s="262"/>
      <c r="WIG78" s="262"/>
      <c r="WIH78" s="262"/>
      <c r="WII78" s="262"/>
      <c r="WIJ78" s="262"/>
      <c r="WIK78" s="262"/>
      <c r="WIL78" s="262"/>
      <c r="WIM78" s="262"/>
      <c r="WIN78" s="262"/>
      <c r="WIO78" s="262"/>
      <c r="WIP78" s="262"/>
      <c r="WIQ78" s="262"/>
      <c r="WIR78" s="262"/>
      <c r="WIS78" s="262"/>
      <c r="WIT78" s="262"/>
      <c r="WIU78" s="262"/>
      <c r="WIV78" s="262"/>
      <c r="WIW78" s="262"/>
      <c r="WIX78" s="262"/>
      <c r="WIY78" s="262"/>
      <c r="WIZ78" s="262"/>
      <c r="WJA78" s="262"/>
      <c r="WJB78" s="262"/>
      <c r="WJC78" s="262"/>
      <c r="WJD78" s="262"/>
      <c r="WJE78" s="262"/>
      <c r="WJF78" s="262"/>
      <c r="WJG78" s="262"/>
      <c r="WJH78" s="262"/>
      <c r="WJI78" s="262"/>
      <c r="WJJ78" s="262"/>
      <c r="WJK78" s="262"/>
      <c r="WJL78" s="262"/>
      <c r="WJM78" s="262"/>
      <c r="WJN78" s="262"/>
      <c r="WJO78" s="262"/>
      <c r="WJP78" s="262"/>
      <c r="WJQ78" s="262"/>
      <c r="WJR78" s="262"/>
      <c r="WJS78" s="262"/>
      <c r="WJT78" s="262"/>
      <c r="WJU78" s="262"/>
      <c r="WJV78" s="262"/>
      <c r="WJW78" s="262"/>
      <c r="WJX78" s="262"/>
      <c r="WJY78" s="262"/>
      <c r="WJZ78" s="262"/>
      <c r="WKA78" s="262"/>
      <c r="WKB78" s="262"/>
      <c r="WKC78" s="262"/>
      <c r="WKD78" s="262"/>
      <c r="WKE78" s="262"/>
      <c r="WKF78" s="262"/>
      <c r="WKG78" s="262"/>
      <c r="WKH78" s="262"/>
      <c r="WKI78" s="262"/>
      <c r="WKJ78" s="262"/>
      <c r="WKK78" s="262"/>
      <c r="WKL78" s="262"/>
      <c r="WKM78" s="262"/>
      <c r="WKN78" s="262"/>
      <c r="WKO78" s="262"/>
      <c r="WKP78" s="262"/>
      <c r="WKQ78" s="262"/>
      <c r="WKR78" s="262"/>
      <c r="WKS78" s="262"/>
      <c r="WKT78" s="262"/>
      <c r="WKU78" s="262"/>
      <c r="WKV78" s="262"/>
      <c r="WKW78" s="262"/>
      <c r="WKX78" s="262"/>
      <c r="WKY78" s="262"/>
      <c r="WKZ78" s="262"/>
      <c r="WLA78" s="262"/>
      <c r="WLB78" s="262"/>
      <c r="WLC78" s="262"/>
      <c r="WLD78" s="262"/>
      <c r="WLE78" s="262"/>
      <c r="WLF78" s="262"/>
      <c r="WLG78" s="262"/>
      <c r="WLH78" s="262"/>
      <c r="WLI78" s="262"/>
      <c r="WLJ78" s="262"/>
      <c r="WLK78" s="262"/>
      <c r="WLL78" s="262"/>
      <c r="WLM78" s="262"/>
      <c r="WLN78" s="262"/>
      <c r="WLO78" s="262"/>
      <c r="WLP78" s="262"/>
      <c r="WLQ78" s="262"/>
      <c r="WLR78" s="262"/>
      <c r="WLS78" s="262"/>
      <c r="WLT78" s="262"/>
      <c r="WLU78" s="262"/>
      <c r="WLV78" s="262"/>
      <c r="WLW78" s="262"/>
      <c r="WLX78" s="262"/>
      <c r="WLY78" s="262"/>
      <c r="WLZ78" s="262"/>
      <c r="WMA78" s="262"/>
      <c r="WMB78" s="262"/>
      <c r="WMC78" s="262"/>
      <c r="WMD78" s="262"/>
      <c r="WME78" s="262"/>
      <c r="WMF78" s="262"/>
      <c r="WMG78" s="262"/>
      <c r="WMH78" s="262"/>
      <c r="WMI78" s="262"/>
      <c r="WMJ78" s="262"/>
      <c r="WMK78" s="262"/>
      <c r="WML78" s="262"/>
      <c r="WMM78" s="262"/>
      <c r="WMN78" s="262"/>
      <c r="WMO78" s="262"/>
      <c r="WMP78" s="262"/>
      <c r="WMQ78" s="262"/>
      <c r="WMR78" s="262"/>
      <c r="WMS78" s="262"/>
      <c r="WMT78" s="262"/>
      <c r="WMU78" s="262"/>
      <c r="WMV78" s="262"/>
      <c r="WMW78" s="262"/>
      <c r="WMX78" s="262"/>
      <c r="WMY78" s="262"/>
      <c r="WMZ78" s="262"/>
      <c r="WNA78" s="262"/>
      <c r="WNB78" s="262"/>
      <c r="WNC78" s="262"/>
      <c r="WND78" s="262"/>
      <c r="WNE78" s="262"/>
      <c r="WNF78" s="262"/>
      <c r="WNG78" s="262"/>
      <c r="WNH78" s="262"/>
      <c r="WNI78" s="262"/>
      <c r="WNJ78" s="262"/>
      <c r="WNK78" s="262"/>
      <c r="WNL78" s="262"/>
      <c r="WNM78" s="262"/>
      <c r="WNN78" s="262"/>
      <c r="WNO78" s="262"/>
      <c r="WNP78" s="262"/>
      <c r="WNQ78" s="262"/>
      <c r="WNR78" s="262"/>
      <c r="WNS78" s="262"/>
      <c r="WNT78" s="262"/>
      <c r="WNU78" s="262"/>
      <c r="WNV78" s="262"/>
      <c r="WNW78" s="262"/>
      <c r="WNX78" s="262"/>
      <c r="WNY78" s="262"/>
      <c r="WNZ78" s="262"/>
      <c r="WOA78" s="262"/>
      <c r="WOB78" s="262"/>
      <c r="WOC78" s="262"/>
      <c r="WOD78" s="262"/>
      <c r="WOE78" s="262"/>
      <c r="WOF78" s="262"/>
      <c r="WOG78" s="262"/>
      <c r="WOH78" s="262"/>
      <c r="WOI78" s="262"/>
      <c r="WOJ78" s="262"/>
      <c r="WOK78" s="262"/>
      <c r="WOL78" s="262"/>
      <c r="WOM78" s="262"/>
      <c r="WON78" s="262"/>
      <c r="WOO78" s="262"/>
      <c r="WOP78" s="262"/>
      <c r="WOQ78" s="262"/>
      <c r="WOR78" s="262"/>
      <c r="WOS78" s="262"/>
      <c r="WOT78" s="262"/>
      <c r="WOU78" s="262"/>
      <c r="WOV78" s="262"/>
      <c r="WOW78" s="262"/>
      <c r="WOX78" s="262"/>
      <c r="WOY78" s="262"/>
      <c r="WOZ78" s="262"/>
      <c r="WPA78" s="262"/>
      <c r="WPB78" s="262"/>
      <c r="WPC78" s="262"/>
      <c r="WPD78" s="262"/>
      <c r="WPE78" s="262"/>
      <c r="WPF78" s="262"/>
      <c r="WPG78" s="262"/>
      <c r="WPH78" s="262"/>
      <c r="WPI78" s="262"/>
      <c r="WPJ78" s="262"/>
      <c r="WPK78" s="262"/>
      <c r="WPL78" s="262"/>
      <c r="WPM78" s="262"/>
      <c r="WPN78" s="262"/>
      <c r="WPO78" s="262"/>
      <c r="WPP78" s="262"/>
      <c r="WPQ78" s="262"/>
      <c r="WPR78" s="262"/>
      <c r="WPS78" s="262"/>
      <c r="WPT78" s="262"/>
      <c r="WPU78" s="262"/>
      <c r="WPV78" s="262"/>
      <c r="WPW78" s="262"/>
      <c r="WPX78" s="262"/>
      <c r="WPY78" s="262"/>
      <c r="WPZ78" s="262"/>
      <c r="WQA78" s="262"/>
      <c r="WQB78" s="262"/>
      <c r="WQC78" s="262"/>
      <c r="WQD78" s="262"/>
      <c r="WQE78" s="262"/>
      <c r="WQF78" s="262"/>
      <c r="WQG78" s="262"/>
      <c r="WQH78" s="262"/>
      <c r="WQI78" s="262"/>
      <c r="WQJ78" s="262"/>
      <c r="WQK78" s="262"/>
      <c r="WQL78" s="262"/>
      <c r="WQM78" s="262"/>
      <c r="WQN78" s="262"/>
      <c r="WQO78" s="262"/>
      <c r="WQP78" s="262"/>
      <c r="WQQ78" s="262"/>
      <c r="WQR78" s="262"/>
      <c r="WQS78" s="262"/>
      <c r="WQT78" s="262"/>
      <c r="WQU78" s="262"/>
      <c r="WQV78" s="262"/>
      <c r="WQW78" s="262"/>
      <c r="WQX78" s="262"/>
      <c r="WQY78" s="262"/>
      <c r="WQZ78" s="262"/>
      <c r="WRA78" s="262"/>
      <c r="WRB78" s="262"/>
      <c r="WRC78" s="262"/>
      <c r="WRD78" s="262"/>
      <c r="WRE78" s="262"/>
      <c r="WRF78" s="262"/>
      <c r="WRG78" s="262"/>
      <c r="WRH78" s="262"/>
      <c r="WRI78" s="262"/>
      <c r="WRJ78" s="262"/>
      <c r="WRK78" s="262"/>
      <c r="WRL78" s="262"/>
      <c r="WRM78" s="262"/>
      <c r="WRN78" s="262"/>
      <c r="WRO78" s="262"/>
      <c r="WRP78" s="262"/>
      <c r="WRQ78" s="262"/>
      <c r="WRR78" s="262"/>
      <c r="WRS78" s="262"/>
      <c r="WRT78" s="262"/>
      <c r="WRU78" s="262"/>
      <c r="WRV78" s="262"/>
      <c r="WRW78" s="262"/>
      <c r="WRX78" s="262"/>
      <c r="WRY78" s="262"/>
      <c r="WRZ78" s="262"/>
      <c r="WSA78" s="262"/>
      <c r="WSB78" s="262"/>
      <c r="WSC78" s="262"/>
      <c r="WSD78" s="262"/>
      <c r="WSE78" s="262"/>
      <c r="WSF78" s="262"/>
      <c r="WSG78" s="262"/>
      <c r="WSH78" s="262"/>
      <c r="WSI78" s="262"/>
      <c r="WSJ78" s="262"/>
      <c r="WSK78" s="262"/>
      <c r="WSL78" s="262"/>
      <c r="WSM78" s="262"/>
      <c r="WSN78" s="262"/>
      <c r="WSO78" s="262"/>
      <c r="WSP78" s="262"/>
      <c r="WSQ78" s="262"/>
      <c r="WSR78" s="262"/>
      <c r="WSS78" s="262"/>
      <c r="WST78" s="262"/>
      <c r="WSU78" s="262"/>
      <c r="WSV78" s="262"/>
      <c r="WSW78" s="262"/>
      <c r="WSX78" s="262"/>
      <c r="WSY78" s="262"/>
      <c r="WSZ78" s="262"/>
      <c r="WTA78" s="262"/>
      <c r="WTB78" s="262"/>
      <c r="WTC78" s="262"/>
      <c r="WTD78" s="262"/>
      <c r="WTE78" s="262"/>
      <c r="WTF78" s="262"/>
      <c r="WTG78" s="262"/>
      <c r="WTH78" s="262"/>
      <c r="WTI78" s="262"/>
      <c r="WTJ78" s="262"/>
      <c r="WTK78" s="262"/>
      <c r="WTL78" s="262"/>
      <c r="WTM78" s="262"/>
      <c r="WTN78" s="262"/>
      <c r="WTO78" s="262"/>
      <c r="WTP78" s="262"/>
      <c r="WTQ78" s="262"/>
      <c r="WTR78" s="262"/>
      <c r="WTS78" s="262"/>
      <c r="WTT78" s="262"/>
      <c r="WTU78" s="262"/>
      <c r="WTV78" s="262"/>
      <c r="WTW78" s="262"/>
      <c r="WTX78" s="262"/>
      <c r="WTY78" s="262"/>
      <c r="WTZ78" s="262"/>
      <c r="WUA78" s="262"/>
      <c r="WUB78" s="262"/>
      <c r="WUC78" s="262"/>
      <c r="WUD78" s="262"/>
      <c r="WUE78" s="262"/>
      <c r="WUF78" s="262"/>
      <c r="WUG78" s="262"/>
      <c r="WUH78" s="262"/>
      <c r="WUI78" s="262"/>
      <c r="WUJ78" s="262"/>
      <c r="WUK78" s="262"/>
      <c r="WUL78" s="262"/>
      <c r="WUM78" s="262"/>
      <c r="WUN78" s="262"/>
      <c r="WUO78" s="262"/>
      <c r="WUP78" s="262"/>
      <c r="WUQ78" s="262"/>
      <c r="WUR78" s="262"/>
      <c r="WUS78" s="262"/>
      <c r="WUT78" s="262"/>
      <c r="WUU78" s="262"/>
      <c r="WUV78" s="262"/>
      <c r="WUW78" s="262"/>
      <c r="WUX78" s="262"/>
      <c r="WUY78" s="262"/>
      <c r="WUZ78" s="262"/>
      <c r="WVA78" s="262"/>
      <c r="WVB78" s="262"/>
      <c r="WVC78" s="262"/>
      <c r="WVD78" s="262"/>
      <c r="WVE78" s="262"/>
      <c r="WVF78" s="262"/>
      <c r="WVG78" s="262"/>
      <c r="WVH78" s="262"/>
      <c r="WVI78" s="262"/>
      <c r="WVJ78" s="262"/>
      <c r="WVK78" s="262"/>
      <c r="WVL78" s="262"/>
      <c r="WVM78" s="262"/>
      <c r="WVN78" s="262"/>
      <c r="WVO78" s="262"/>
      <c r="WVP78" s="262"/>
      <c r="WVQ78" s="262"/>
      <c r="WVR78" s="262"/>
      <c r="WVS78" s="262"/>
      <c r="WVT78" s="262"/>
      <c r="WVU78" s="262"/>
      <c r="WVV78" s="262"/>
      <c r="WVW78" s="262"/>
      <c r="WVX78" s="262"/>
      <c r="WVY78" s="262"/>
      <c r="WVZ78" s="262"/>
      <c r="WWA78" s="262"/>
      <c r="WWB78" s="262"/>
      <c r="WWC78" s="262"/>
      <c r="WWD78" s="262"/>
      <c r="WWE78" s="262"/>
      <c r="WWF78" s="262"/>
      <c r="WWG78" s="262"/>
      <c r="WWH78" s="262"/>
      <c r="WWI78" s="262"/>
      <c r="WWJ78" s="262"/>
      <c r="WWK78" s="262"/>
      <c r="WWL78" s="262"/>
      <c r="WWM78" s="262"/>
      <c r="WWN78" s="262"/>
      <c r="WWO78" s="262"/>
      <c r="WWP78" s="262"/>
      <c r="WWQ78" s="262"/>
      <c r="WWR78" s="262"/>
      <c r="WWS78" s="262"/>
      <c r="WWT78" s="262"/>
      <c r="WWU78" s="262"/>
      <c r="WWV78" s="262"/>
      <c r="WWW78" s="262"/>
      <c r="WWX78" s="262"/>
      <c r="WWY78" s="262"/>
      <c r="WWZ78" s="262"/>
      <c r="WXA78" s="262"/>
      <c r="WXB78" s="262"/>
      <c r="WXC78" s="262"/>
      <c r="WXD78" s="262"/>
      <c r="WXE78" s="262"/>
      <c r="WXF78" s="262"/>
      <c r="WXG78" s="262"/>
      <c r="WXH78" s="262"/>
      <c r="WXI78" s="262"/>
      <c r="WXJ78" s="262"/>
      <c r="WXK78" s="262"/>
      <c r="WXL78" s="262"/>
      <c r="WXM78" s="262"/>
      <c r="WXN78" s="262"/>
      <c r="WXO78" s="262"/>
      <c r="WXP78" s="262"/>
      <c r="WXQ78" s="262"/>
      <c r="WXR78" s="262"/>
      <c r="WXS78" s="262"/>
      <c r="WXT78" s="262"/>
      <c r="WXU78" s="262"/>
      <c r="WXV78" s="262"/>
      <c r="WXW78" s="262"/>
      <c r="WXX78" s="262"/>
      <c r="WXY78" s="262"/>
      <c r="WXZ78" s="262"/>
      <c r="WYA78" s="262"/>
      <c r="WYB78" s="262"/>
      <c r="WYC78" s="262"/>
      <c r="WYD78" s="262"/>
      <c r="WYE78" s="262"/>
      <c r="WYF78" s="262"/>
      <c r="WYG78" s="262"/>
      <c r="WYH78" s="262"/>
      <c r="WYI78" s="262"/>
      <c r="WYJ78" s="262"/>
      <c r="WYK78" s="262"/>
      <c r="WYL78" s="262"/>
      <c r="WYM78" s="262"/>
      <c r="WYN78" s="262"/>
      <c r="WYO78" s="262"/>
      <c r="WYP78" s="262"/>
      <c r="WYQ78" s="262"/>
      <c r="WYR78" s="262"/>
      <c r="WYS78" s="262"/>
      <c r="WYT78" s="262"/>
      <c r="WYU78" s="262"/>
      <c r="WYV78" s="262"/>
      <c r="WYW78" s="262"/>
      <c r="WYX78" s="262"/>
      <c r="WYY78" s="262"/>
      <c r="WYZ78" s="262"/>
      <c r="WZA78" s="262"/>
      <c r="WZB78" s="262"/>
      <c r="WZC78" s="262"/>
      <c r="WZD78" s="262"/>
      <c r="WZE78" s="262"/>
      <c r="WZF78" s="262"/>
      <c r="WZG78" s="262"/>
      <c r="WZH78" s="262"/>
      <c r="WZI78" s="262"/>
      <c r="WZJ78" s="262"/>
      <c r="WZK78" s="262"/>
      <c r="WZL78" s="262"/>
      <c r="WZM78" s="262"/>
      <c r="WZN78" s="262"/>
      <c r="WZO78" s="262"/>
      <c r="WZP78" s="262"/>
      <c r="WZQ78" s="262"/>
      <c r="WZR78" s="262"/>
      <c r="WZS78" s="262"/>
      <c r="WZT78" s="262"/>
      <c r="WZU78" s="262"/>
      <c r="WZV78" s="262"/>
      <c r="WZW78" s="262"/>
      <c r="WZX78" s="262"/>
      <c r="WZY78" s="262"/>
      <c r="WZZ78" s="262"/>
      <c r="XAA78" s="262"/>
      <c r="XAB78" s="262"/>
      <c r="XAC78" s="262"/>
      <c r="XAD78" s="262"/>
      <c r="XAE78" s="262"/>
      <c r="XAF78" s="262"/>
      <c r="XAG78" s="262"/>
      <c r="XAH78" s="262"/>
      <c r="XAI78" s="262"/>
      <c r="XAJ78" s="262"/>
      <c r="XAK78" s="262"/>
      <c r="XAL78" s="262"/>
      <c r="XAM78" s="262"/>
      <c r="XAN78" s="262"/>
      <c r="XAO78" s="262"/>
      <c r="XAP78" s="262"/>
      <c r="XAQ78" s="262"/>
      <c r="XAR78" s="262"/>
      <c r="XAS78" s="262"/>
      <c r="XAT78" s="262"/>
      <c r="XAU78" s="262"/>
      <c r="XAV78" s="262"/>
      <c r="XAW78" s="262"/>
      <c r="XAX78" s="262"/>
      <c r="XAY78" s="262"/>
      <c r="XAZ78" s="262"/>
      <c r="XBA78" s="262"/>
      <c r="XBB78" s="262"/>
      <c r="XBC78" s="262"/>
      <c r="XBD78" s="262"/>
      <c r="XBE78" s="262"/>
      <c r="XBF78" s="262"/>
      <c r="XBG78" s="262"/>
      <c r="XBH78" s="262"/>
      <c r="XBI78" s="262"/>
      <c r="XBJ78" s="262"/>
      <c r="XBK78" s="262"/>
      <c r="XBL78" s="262"/>
      <c r="XBM78" s="262"/>
      <c r="XBN78" s="262"/>
      <c r="XBO78" s="262"/>
      <c r="XBP78" s="262"/>
      <c r="XBQ78" s="262"/>
      <c r="XBR78" s="262"/>
      <c r="XBS78" s="262"/>
      <c r="XBT78" s="262"/>
      <c r="XBU78" s="262"/>
      <c r="XBV78" s="262"/>
      <c r="XBW78" s="262"/>
      <c r="XBX78" s="262"/>
      <c r="XBY78" s="262"/>
      <c r="XBZ78" s="262"/>
      <c r="XCA78" s="262"/>
      <c r="XCB78" s="262"/>
      <c r="XCC78" s="262"/>
      <c r="XCD78" s="262"/>
      <c r="XCE78" s="262"/>
      <c r="XCF78" s="262"/>
      <c r="XCG78" s="262"/>
      <c r="XCH78" s="262"/>
      <c r="XCI78" s="262"/>
      <c r="XCJ78" s="262"/>
      <c r="XCK78" s="262"/>
      <c r="XCL78" s="262"/>
      <c r="XCM78" s="262"/>
      <c r="XCN78" s="262"/>
      <c r="XCO78" s="262"/>
      <c r="XCP78" s="262"/>
      <c r="XCQ78" s="262"/>
      <c r="XCR78" s="262"/>
      <c r="XCS78" s="262"/>
      <c r="XCT78" s="262"/>
      <c r="XCU78" s="262"/>
      <c r="XCV78" s="262"/>
      <c r="XCW78" s="262"/>
      <c r="XCX78" s="262"/>
      <c r="XCY78" s="262"/>
      <c r="XCZ78" s="262"/>
      <c r="XDA78" s="262"/>
      <c r="XDB78" s="262"/>
      <c r="XDC78" s="262"/>
      <c r="XDD78" s="262"/>
      <c r="XDE78" s="262"/>
      <c r="XDF78" s="262"/>
      <c r="XDG78" s="262"/>
      <c r="XDH78" s="262"/>
      <c r="XDI78" s="262"/>
      <c r="XDJ78" s="262"/>
      <c r="XDK78" s="262"/>
      <c r="XDL78" s="262"/>
      <c r="XDM78" s="262"/>
      <c r="XDN78" s="262"/>
      <c r="XDO78" s="262"/>
      <c r="XDP78" s="262"/>
      <c r="XDQ78" s="262"/>
      <c r="XDR78" s="262"/>
      <c r="XDS78" s="262"/>
      <c r="XDT78" s="262"/>
      <c r="XDU78" s="262"/>
      <c r="XDV78" s="262"/>
      <c r="XDW78" s="262"/>
      <c r="XDX78" s="262"/>
      <c r="XDY78" s="262"/>
      <c r="XDZ78" s="262"/>
      <c r="XEA78" s="262"/>
      <c r="XEB78" s="262"/>
      <c r="XEC78" s="262"/>
      <c r="XED78" s="262"/>
      <c r="XEE78" s="262"/>
      <c r="XEF78" s="262"/>
      <c r="XEG78" s="262"/>
      <c r="XEH78" s="262"/>
      <c r="XEI78" s="262"/>
      <c r="XEJ78" s="262"/>
      <c r="XEK78" s="262"/>
      <c r="XEL78" s="262"/>
      <c r="XEM78" s="262"/>
      <c r="XEN78" s="262"/>
      <c r="XEO78" s="262"/>
      <c r="XEP78" s="262"/>
      <c r="XEQ78" s="262"/>
      <c r="XER78" s="262"/>
      <c r="XES78" s="262"/>
      <c r="XET78" s="262"/>
      <c r="XEU78" s="262"/>
      <c r="XEV78" s="262"/>
      <c r="XEW78" s="262"/>
      <c r="XEX78" s="262"/>
      <c r="XEY78" s="262"/>
      <c r="XEZ78" s="262"/>
      <c r="XFA78" s="262"/>
      <c r="XFB78" s="262"/>
      <c r="XFC78" s="262"/>
      <c r="XFD78" s="262"/>
    </row>
    <row r="79" spans="1:16384">
      <c r="A79" s="264"/>
      <c r="B79" t="s">
        <v>66</v>
      </c>
      <c r="C79" s="32">
        <v>13743</v>
      </c>
      <c r="D79" t="s">
        <v>20</v>
      </c>
      <c r="E79" s="32">
        <v>330830</v>
      </c>
      <c r="F79" t="s">
        <v>20</v>
      </c>
      <c r="G79" s="32">
        <v>2497322</v>
      </c>
      <c r="H79" t="s">
        <v>20</v>
      </c>
      <c r="I79" s="32">
        <v>4541835</v>
      </c>
      <c r="J79" s="30" t="s">
        <v>20</v>
      </c>
    </row>
    <row r="80" spans="1:16384">
      <c r="A80" s="264"/>
      <c r="B80" t="s">
        <v>65</v>
      </c>
      <c r="C80" s="32">
        <v>5968</v>
      </c>
      <c r="D80" s="96">
        <v>0.43425744015134976</v>
      </c>
      <c r="E80" s="32">
        <v>211438</v>
      </c>
      <c r="F80" s="48">
        <v>0.63911374421908529</v>
      </c>
      <c r="G80" s="32">
        <v>1804084</v>
      </c>
      <c r="H80" s="48">
        <v>0.72240744285278391</v>
      </c>
      <c r="I80" s="32">
        <v>3214110</v>
      </c>
      <c r="J80" s="61">
        <v>0.7076677158020932</v>
      </c>
    </row>
    <row r="81" spans="1:182">
      <c r="A81" s="264"/>
      <c r="B81" t="s">
        <v>68</v>
      </c>
      <c r="C81" s="32">
        <v>4550</v>
      </c>
      <c r="D81" s="96">
        <v>0.33107763952557667</v>
      </c>
      <c r="E81" s="32">
        <v>183932</v>
      </c>
      <c r="F81" s="48">
        <v>0.55597134479944388</v>
      </c>
      <c r="G81" s="32">
        <v>1655730</v>
      </c>
      <c r="H81" s="48">
        <v>0.66300220796517229</v>
      </c>
      <c r="I81" s="32">
        <v>3013421</v>
      </c>
      <c r="J81" s="61">
        <v>0.66348094988038975</v>
      </c>
    </row>
    <row r="82" spans="1:182">
      <c r="A82" s="264"/>
      <c r="B82" s="95" t="s">
        <v>67</v>
      </c>
      <c r="C82" s="32">
        <v>1418</v>
      </c>
      <c r="D82" s="96">
        <v>0.10317980062577312</v>
      </c>
      <c r="E82" s="32">
        <v>27506</v>
      </c>
      <c r="F82" s="48">
        <v>8.3142399419641508E-2</v>
      </c>
      <c r="G82" s="32">
        <v>148354</v>
      </c>
      <c r="H82" s="48">
        <v>5.940523488761161E-2</v>
      </c>
      <c r="I82" s="32">
        <v>200689</v>
      </c>
      <c r="J82" s="61">
        <v>4.4186765921703453E-2</v>
      </c>
    </row>
    <row r="83" spans="1:182">
      <c r="A83" s="264"/>
      <c r="B83" t="s">
        <v>69</v>
      </c>
      <c r="C83" s="32">
        <v>267</v>
      </c>
      <c r="D83" s="96">
        <v>1.9428072473259114E-2</v>
      </c>
      <c r="E83" s="32">
        <v>3089</v>
      </c>
      <c r="F83" s="48">
        <v>9.3371217846023643E-3</v>
      </c>
      <c r="G83" s="32">
        <v>31241</v>
      </c>
      <c r="H83" s="48">
        <v>1.2509800498293772E-2</v>
      </c>
      <c r="I83" s="32">
        <v>92881</v>
      </c>
      <c r="J83" s="61">
        <v>2.0450104418148173E-2</v>
      </c>
    </row>
    <row r="84" spans="1:182">
      <c r="A84" s="264"/>
      <c r="B84" t="s">
        <v>57</v>
      </c>
      <c r="C84" s="32">
        <v>656</v>
      </c>
      <c r="D84" s="96">
        <v>4.7733391544786438E-2</v>
      </c>
      <c r="E84" s="32">
        <v>13307</v>
      </c>
      <c r="F84" s="48">
        <v>4.0223075295468973E-2</v>
      </c>
      <c r="G84" s="32">
        <v>65484</v>
      </c>
      <c r="H84" s="48">
        <v>2.6221688672906418E-2</v>
      </c>
      <c r="I84" s="32">
        <v>138476</v>
      </c>
      <c r="J84" s="61">
        <v>3.0488998389417495E-2</v>
      </c>
    </row>
    <row r="85" spans="1:182">
      <c r="A85" s="264"/>
      <c r="B85" t="s">
        <v>58</v>
      </c>
      <c r="C85" s="32">
        <v>1391</v>
      </c>
      <c r="D85" s="96">
        <v>0.10121516408353344</v>
      </c>
      <c r="E85" s="32">
        <v>24781</v>
      </c>
      <c r="F85" s="48">
        <v>7.4905540609980961E-2</v>
      </c>
      <c r="G85" s="32">
        <v>112677</v>
      </c>
      <c r="H85" s="48">
        <v>4.511913161378469E-2</v>
      </c>
      <c r="I85" s="32">
        <v>194747</v>
      </c>
      <c r="J85" s="61">
        <v>4.2878484136918228E-2</v>
      </c>
    </row>
    <row r="86" spans="1:182">
      <c r="A86" s="264"/>
      <c r="B86" t="s">
        <v>59</v>
      </c>
      <c r="C86" s="32">
        <v>1507</v>
      </c>
      <c r="D86" s="96">
        <v>0.10965582478352616</v>
      </c>
      <c r="E86" s="32">
        <v>26771</v>
      </c>
      <c r="F86" s="48">
        <v>8.0920714566393617E-2</v>
      </c>
      <c r="G86" s="32">
        <v>141981</v>
      </c>
      <c r="H86" s="48">
        <v>5.6853301256305756E-2</v>
      </c>
      <c r="I86" s="32">
        <v>195737</v>
      </c>
      <c r="J86" s="61">
        <v>4.3096457709273894E-2</v>
      </c>
    </row>
    <row r="87" spans="1:182">
      <c r="A87" s="264"/>
      <c r="B87" t="s">
        <v>60</v>
      </c>
      <c r="C87" s="32">
        <v>1287</v>
      </c>
      <c r="D87" s="96">
        <v>9.3647675180091677E-2</v>
      </c>
      <c r="E87" s="32">
        <v>18092</v>
      </c>
      <c r="F87" s="48">
        <v>5.4686697095184839E-2</v>
      </c>
      <c r="G87" s="32">
        <v>86970</v>
      </c>
      <c r="H87" s="48">
        <v>3.4825304866573072E-2</v>
      </c>
      <c r="I87" s="32">
        <v>117349</v>
      </c>
      <c r="J87" s="61">
        <v>2.5837354285217318E-2</v>
      </c>
    </row>
    <row r="88" spans="1:182">
      <c r="A88" s="264"/>
      <c r="B88" t="s">
        <v>61</v>
      </c>
      <c r="C88" s="32">
        <v>2633</v>
      </c>
      <c r="D88" s="96">
        <v>0.19158844502655897</v>
      </c>
      <c r="E88" s="32">
        <v>31239</v>
      </c>
      <c r="F88" s="48">
        <v>9.4426140313756304E-2</v>
      </c>
      <c r="G88" s="32">
        <v>189646</v>
      </c>
      <c r="H88" s="48">
        <v>7.5939746656618567E-2</v>
      </c>
      <c r="I88" s="32">
        <v>227822</v>
      </c>
      <c r="J88" s="61">
        <v>5.0160783031528003E-2</v>
      </c>
    </row>
    <row r="89" spans="1:182">
      <c r="A89" s="264"/>
      <c r="B89" t="s">
        <v>62</v>
      </c>
      <c r="C89" s="32">
        <v>34</v>
      </c>
      <c r="D89" s="96">
        <v>2.4739867568944192E-3</v>
      </c>
      <c r="E89" s="32">
        <v>2056</v>
      </c>
      <c r="F89" s="48">
        <v>6.2146721881328783E-3</v>
      </c>
      <c r="G89" s="32">
        <v>63995</v>
      </c>
      <c r="H89" s="48">
        <v>2.5625449982020741E-2</v>
      </c>
      <c r="I89" s="32">
        <v>356131</v>
      </c>
      <c r="J89" s="61">
        <v>7.8411258885450488E-2</v>
      </c>
    </row>
    <row r="90" spans="1:182" ht="16" thickBot="1">
      <c r="A90" s="265"/>
      <c r="B90" s="34" t="s">
        <v>63</v>
      </c>
      <c r="C90" s="35">
        <v>0</v>
      </c>
      <c r="D90" s="97">
        <v>0</v>
      </c>
      <c r="E90" s="35">
        <v>57</v>
      </c>
      <c r="F90" s="62">
        <v>1.7229392739473445E-4</v>
      </c>
      <c r="G90" s="35">
        <v>1244</v>
      </c>
      <c r="H90" s="62">
        <v>4.9813360071308387E-4</v>
      </c>
      <c r="I90" s="35">
        <v>4582</v>
      </c>
      <c r="J90" s="63">
        <v>1.0088433419531972E-3</v>
      </c>
    </row>
    <row r="92" spans="1:182" s="98" customFormat="1">
      <c r="A92" s="4"/>
      <c r="B92" s="105" t="s">
        <v>194</v>
      </c>
      <c r="C92" s="106">
        <v>2015</v>
      </c>
      <c r="D92" s="106" t="s">
        <v>70</v>
      </c>
      <c r="E92" s="106" t="s">
        <v>71</v>
      </c>
      <c r="F92" s="106" t="s">
        <v>72</v>
      </c>
      <c r="G92" s="106" t="s">
        <v>73</v>
      </c>
      <c r="H92" s="106" t="s">
        <v>74</v>
      </c>
      <c r="I92" s="106" t="s">
        <v>75</v>
      </c>
      <c r="J92" s="106" t="s">
        <v>76</v>
      </c>
      <c r="K92" s="106" t="s">
        <v>77</v>
      </c>
      <c r="L92" s="106" t="s">
        <v>78</v>
      </c>
      <c r="M92" s="106" t="s">
        <v>79</v>
      </c>
      <c r="N92" s="106" t="s">
        <v>80</v>
      </c>
      <c r="O92" s="106" t="s">
        <v>195</v>
      </c>
      <c r="P92" s="106" t="s">
        <v>81</v>
      </c>
      <c r="Q92" s="106" t="s">
        <v>82</v>
      </c>
      <c r="R92" s="106" t="s">
        <v>83</v>
      </c>
      <c r="S92" s="106" t="s">
        <v>84</v>
      </c>
      <c r="T92" s="106" t="s">
        <v>85</v>
      </c>
      <c r="U92" s="106" t="s">
        <v>86</v>
      </c>
      <c r="V92" s="106" t="s">
        <v>87</v>
      </c>
      <c r="W92" s="106" t="s">
        <v>88</v>
      </c>
      <c r="X92" s="106" t="s">
        <v>89</v>
      </c>
      <c r="Y92" s="106" t="s">
        <v>90</v>
      </c>
      <c r="Z92" s="106" t="s">
        <v>91</v>
      </c>
      <c r="AA92" s="106" t="s">
        <v>196</v>
      </c>
      <c r="AB92" s="106" t="s">
        <v>92</v>
      </c>
      <c r="AC92" s="106" t="s">
        <v>93</v>
      </c>
      <c r="AD92" s="106" t="s">
        <v>94</v>
      </c>
      <c r="AE92" s="106" t="s">
        <v>95</v>
      </c>
      <c r="AF92" s="106" t="s">
        <v>96</v>
      </c>
      <c r="AG92" s="106" t="s">
        <v>97</v>
      </c>
      <c r="AH92" s="106" t="s">
        <v>98</v>
      </c>
      <c r="AI92" s="106" t="s">
        <v>99</v>
      </c>
      <c r="AJ92" s="106" t="s">
        <v>100</v>
      </c>
      <c r="AK92" s="106" t="s">
        <v>101</v>
      </c>
      <c r="AL92" s="106" t="s">
        <v>102</v>
      </c>
      <c r="AM92" s="106" t="s">
        <v>197</v>
      </c>
      <c r="AN92" s="106" t="s">
        <v>103</v>
      </c>
      <c r="AO92" s="106" t="s">
        <v>104</v>
      </c>
      <c r="AP92" s="106" t="s">
        <v>105</v>
      </c>
      <c r="AQ92" s="106" t="s">
        <v>106</v>
      </c>
      <c r="AR92" s="106" t="s">
        <v>107</v>
      </c>
      <c r="AS92" s="106" t="s">
        <v>108</v>
      </c>
      <c r="AT92" s="106" t="s">
        <v>109</v>
      </c>
      <c r="AU92" s="106" t="s">
        <v>110</v>
      </c>
      <c r="AV92" s="106" t="s">
        <v>111</v>
      </c>
      <c r="AW92" s="106" t="s">
        <v>112</v>
      </c>
      <c r="AX92" s="106" t="s">
        <v>113</v>
      </c>
      <c r="AY92" s="106" t="s">
        <v>198</v>
      </c>
      <c r="AZ92" s="106" t="s">
        <v>114</v>
      </c>
      <c r="BA92" s="106" t="s">
        <v>115</v>
      </c>
      <c r="BB92" s="106" t="s">
        <v>116</v>
      </c>
      <c r="BC92" s="106" t="s">
        <v>117</v>
      </c>
      <c r="BD92" s="106" t="s">
        <v>118</v>
      </c>
      <c r="BE92" s="106" t="s">
        <v>119</v>
      </c>
      <c r="BF92" s="106" t="s">
        <v>120</v>
      </c>
      <c r="BG92" s="106" t="s">
        <v>121</v>
      </c>
      <c r="BH92" s="106" t="s">
        <v>122</v>
      </c>
      <c r="BI92" s="106" t="s">
        <v>123</v>
      </c>
      <c r="BJ92" s="106" t="s">
        <v>124</v>
      </c>
      <c r="BK92" s="106" t="s">
        <v>199</v>
      </c>
      <c r="BL92" s="106" t="s">
        <v>125</v>
      </c>
      <c r="BM92" s="106" t="s">
        <v>126</v>
      </c>
      <c r="BN92" s="106" t="s">
        <v>127</v>
      </c>
      <c r="BO92" s="106" t="s">
        <v>128</v>
      </c>
      <c r="BP92" s="106" t="s">
        <v>129</v>
      </c>
      <c r="BQ92" s="106" t="s">
        <v>130</v>
      </c>
      <c r="BR92" s="106" t="s">
        <v>131</v>
      </c>
      <c r="BS92" s="106" t="s">
        <v>132</v>
      </c>
      <c r="BT92" s="106" t="s">
        <v>133</v>
      </c>
      <c r="BU92" s="106" t="s">
        <v>134</v>
      </c>
      <c r="BV92" s="106" t="s">
        <v>135</v>
      </c>
      <c r="BW92" s="106" t="s">
        <v>200</v>
      </c>
      <c r="BX92" s="106" t="s">
        <v>136</v>
      </c>
      <c r="BY92" s="106" t="s">
        <v>137</v>
      </c>
      <c r="BZ92" s="106" t="s">
        <v>138</v>
      </c>
      <c r="CA92" s="106" t="s">
        <v>139</v>
      </c>
      <c r="CB92" s="106" t="s">
        <v>140</v>
      </c>
      <c r="CC92" s="106" t="s">
        <v>141</v>
      </c>
      <c r="CD92" s="106" t="s">
        <v>142</v>
      </c>
      <c r="CE92" s="106" t="s">
        <v>143</v>
      </c>
      <c r="CF92" s="106" t="s">
        <v>144</v>
      </c>
      <c r="CG92" s="106" t="s">
        <v>145</v>
      </c>
      <c r="CH92" s="106" t="s">
        <v>146</v>
      </c>
      <c r="CI92" s="106" t="s">
        <v>201</v>
      </c>
      <c r="CJ92" s="106" t="s">
        <v>147</v>
      </c>
      <c r="CK92" s="106" t="s">
        <v>148</v>
      </c>
      <c r="CL92" s="106" t="s">
        <v>149</v>
      </c>
      <c r="CM92" s="106" t="s">
        <v>150</v>
      </c>
      <c r="CN92" s="106" t="s">
        <v>151</v>
      </c>
      <c r="CO92" s="106" t="s">
        <v>152</v>
      </c>
      <c r="CP92" s="106" t="s">
        <v>153</v>
      </c>
      <c r="CQ92" s="106" t="s">
        <v>154</v>
      </c>
      <c r="CR92" s="106" t="s">
        <v>155</v>
      </c>
      <c r="CS92" s="106" t="s">
        <v>156</v>
      </c>
      <c r="CT92" s="106" t="s">
        <v>157</v>
      </c>
      <c r="CU92" s="106" t="s">
        <v>202</v>
      </c>
      <c r="CV92" s="106" t="s">
        <v>158</v>
      </c>
      <c r="CW92" s="106" t="s">
        <v>159</v>
      </c>
      <c r="CX92" s="106" t="s">
        <v>160</v>
      </c>
      <c r="CY92" s="106" t="s">
        <v>161</v>
      </c>
      <c r="CZ92" s="106" t="s">
        <v>162</v>
      </c>
      <c r="DA92" s="106" t="s">
        <v>163</v>
      </c>
      <c r="DB92" s="106" t="s">
        <v>164</v>
      </c>
      <c r="DC92" s="106" t="s">
        <v>165</v>
      </c>
      <c r="DD92" s="106" t="s">
        <v>166</v>
      </c>
      <c r="DE92" s="106" t="s">
        <v>167</v>
      </c>
      <c r="DF92" s="106" t="s">
        <v>168</v>
      </c>
      <c r="DG92" s="106" t="s">
        <v>203</v>
      </c>
      <c r="DH92" s="106" t="s">
        <v>169</v>
      </c>
      <c r="DI92" s="106" t="s">
        <v>170</v>
      </c>
      <c r="DJ92" s="106" t="s">
        <v>171</v>
      </c>
      <c r="DK92" s="106" t="s">
        <v>172</v>
      </c>
      <c r="DL92" s="106" t="s">
        <v>173</v>
      </c>
      <c r="DM92" s="106" t="s">
        <v>174</v>
      </c>
      <c r="DN92" s="106" t="s">
        <v>175</v>
      </c>
      <c r="DO92" s="106" t="s">
        <v>176</v>
      </c>
      <c r="DP92" s="106" t="s">
        <v>177</v>
      </c>
      <c r="DQ92" s="106" t="s">
        <v>178</v>
      </c>
      <c r="DR92" s="106" t="s">
        <v>179</v>
      </c>
      <c r="DS92" s="106" t="s">
        <v>204</v>
      </c>
      <c r="DT92" s="106" t="s">
        <v>180</v>
      </c>
      <c r="DU92" s="106" t="s">
        <v>181</v>
      </c>
      <c r="DV92" s="106" t="s">
        <v>182</v>
      </c>
      <c r="DW92" s="106" t="s">
        <v>183</v>
      </c>
      <c r="DX92" s="106" t="s">
        <v>184</v>
      </c>
      <c r="DY92" s="106" t="s">
        <v>185</v>
      </c>
      <c r="DZ92" s="106" t="s">
        <v>186</v>
      </c>
      <c r="EA92" s="106" t="s">
        <v>187</v>
      </c>
      <c r="EB92" s="106" t="s">
        <v>188</v>
      </c>
      <c r="EC92" s="106" t="s">
        <v>189</v>
      </c>
      <c r="ED92" s="106" t="s">
        <v>190</v>
      </c>
      <c r="EE92" s="106" t="s">
        <v>205</v>
      </c>
      <c r="EF92" s="106" t="s">
        <v>191</v>
      </c>
      <c r="EG92" s="106" t="s">
        <v>192</v>
      </c>
      <c r="EH92" s="106" t="s">
        <v>193</v>
      </c>
    </row>
    <row r="93" spans="1:182" s="100" customFormat="1">
      <c r="A93" s="102"/>
      <c r="B93" s="105" t="s">
        <v>206</v>
      </c>
      <c r="C93" s="105">
        <v>2015</v>
      </c>
      <c r="D93" s="105">
        <f t="shared" ref="D93:N93" si="8">YEAR(D92)</f>
        <v>2015</v>
      </c>
      <c r="E93" s="105">
        <f t="shared" si="8"/>
        <v>2015</v>
      </c>
      <c r="F93" s="105">
        <f t="shared" si="8"/>
        <v>2015</v>
      </c>
      <c r="G93" s="105">
        <f t="shared" si="8"/>
        <v>2015</v>
      </c>
      <c r="H93" s="105">
        <f t="shared" si="8"/>
        <v>2015</v>
      </c>
      <c r="I93" s="105">
        <f t="shared" si="8"/>
        <v>2015</v>
      </c>
      <c r="J93" s="105">
        <f t="shared" si="8"/>
        <v>2015</v>
      </c>
      <c r="K93" s="105">
        <f t="shared" si="8"/>
        <v>2015</v>
      </c>
      <c r="L93" s="105">
        <f t="shared" si="8"/>
        <v>2015</v>
      </c>
      <c r="M93" s="105">
        <f t="shared" si="8"/>
        <v>2015</v>
      </c>
      <c r="N93" s="105">
        <f t="shared" si="8"/>
        <v>2015</v>
      </c>
      <c r="O93" s="105">
        <v>2016</v>
      </c>
      <c r="P93" s="105">
        <f t="shared" ref="P93:Z93" si="9">YEAR(P92)</f>
        <v>2016</v>
      </c>
      <c r="Q93" s="105">
        <f t="shared" si="9"/>
        <v>2016</v>
      </c>
      <c r="R93" s="105">
        <f t="shared" si="9"/>
        <v>2016</v>
      </c>
      <c r="S93" s="105">
        <f t="shared" si="9"/>
        <v>2016</v>
      </c>
      <c r="T93" s="105">
        <f t="shared" si="9"/>
        <v>2016</v>
      </c>
      <c r="U93" s="105">
        <f t="shared" si="9"/>
        <v>2016</v>
      </c>
      <c r="V93" s="105">
        <f t="shared" si="9"/>
        <v>2016</v>
      </c>
      <c r="W93" s="105">
        <f t="shared" si="9"/>
        <v>2016</v>
      </c>
      <c r="X93" s="105">
        <f t="shared" si="9"/>
        <v>2016</v>
      </c>
      <c r="Y93" s="105">
        <f t="shared" si="9"/>
        <v>2016</v>
      </c>
      <c r="Z93" s="105">
        <f t="shared" si="9"/>
        <v>2016</v>
      </c>
      <c r="AA93" s="105">
        <v>2017</v>
      </c>
      <c r="AB93" s="105">
        <f t="shared" ref="AB93:AL93" si="10">YEAR(AB92)</f>
        <v>2017</v>
      </c>
      <c r="AC93" s="105">
        <f t="shared" si="10"/>
        <v>2017</v>
      </c>
      <c r="AD93" s="105">
        <f t="shared" si="10"/>
        <v>2017</v>
      </c>
      <c r="AE93" s="105">
        <f t="shared" si="10"/>
        <v>2017</v>
      </c>
      <c r="AF93" s="105">
        <f t="shared" si="10"/>
        <v>2017</v>
      </c>
      <c r="AG93" s="105">
        <f t="shared" si="10"/>
        <v>2017</v>
      </c>
      <c r="AH93" s="105">
        <f t="shared" si="10"/>
        <v>2017</v>
      </c>
      <c r="AI93" s="105">
        <f t="shared" si="10"/>
        <v>2017</v>
      </c>
      <c r="AJ93" s="105">
        <f t="shared" si="10"/>
        <v>2017</v>
      </c>
      <c r="AK93" s="105">
        <f t="shared" si="10"/>
        <v>2017</v>
      </c>
      <c r="AL93" s="105">
        <f t="shared" si="10"/>
        <v>2017</v>
      </c>
      <c r="AM93" s="105">
        <v>2018</v>
      </c>
      <c r="AN93" s="105">
        <f t="shared" ref="AN93:AX93" si="11">YEAR(AN92)</f>
        <v>2018</v>
      </c>
      <c r="AO93" s="105">
        <f t="shared" si="11"/>
        <v>2018</v>
      </c>
      <c r="AP93" s="105">
        <f t="shared" si="11"/>
        <v>2018</v>
      </c>
      <c r="AQ93" s="105">
        <f t="shared" si="11"/>
        <v>2018</v>
      </c>
      <c r="AR93" s="105">
        <f t="shared" si="11"/>
        <v>2018</v>
      </c>
      <c r="AS93" s="105">
        <f t="shared" si="11"/>
        <v>2018</v>
      </c>
      <c r="AT93" s="105">
        <f t="shared" si="11"/>
        <v>2018</v>
      </c>
      <c r="AU93" s="105">
        <f t="shared" si="11"/>
        <v>2018</v>
      </c>
      <c r="AV93" s="105">
        <f t="shared" si="11"/>
        <v>2018</v>
      </c>
      <c r="AW93" s="105">
        <f t="shared" si="11"/>
        <v>2018</v>
      </c>
      <c r="AX93" s="105">
        <f t="shared" si="11"/>
        <v>2018</v>
      </c>
      <c r="AY93" s="105">
        <v>2019</v>
      </c>
      <c r="AZ93" s="105">
        <f t="shared" ref="AZ93:BJ93" si="12">YEAR(AZ92)</f>
        <v>2019</v>
      </c>
      <c r="BA93" s="105">
        <f t="shared" si="12"/>
        <v>2019</v>
      </c>
      <c r="BB93" s="105">
        <f t="shared" si="12"/>
        <v>2019</v>
      </c>
      <c r="BC93" s="105">
        <f t="shared" si="12"/>
        <v>2019</v>
      </c>
      <c r="BD93" s="105">
        <f t="shared" si="12"/>
        <v>2019</v>
      </c>
      <c r="BE93" s="105">
        <f t="shared" si="12"/>
        <v>2019</v>
      </c>
      <c r="BF93" s="105">
        <f t="shared" si="12"/>
        <v>2019</v>
      </c>
      <c r="BG93" s="105">
        <f t="shared" si="12"/>
        <v>2019</v>
      </c>
      <c r="BH93" s="105">
        <f t="shared" si="12"/>
        <v>2019</v>
      </c>
      <c r="BI93" s="105">
        <f t="shared" si="12"/>
        <v>2019</v>
      </c>
      <c r="BJ93" s="105">
        <f t="shared" si="12"/>
        <v>2019</v>
      </c>
      <c r="BK93" s="105">
        <v>2020</v>
      </c>
      <c r="BL93" s="105">
        <f t="shared" ref="BL93:BV93" si="13">YEAR(BL92)</f>
        <v>2020</v>
      </c>
      <c r="BM93" s="105">
        <f t="shared" si="13"/>
        <v>2020</v>
      </c>
      <c r="BN93" s="105">
        <f t="shared" si="13"/>
        <v>2020</v>
      </c>
      <c r="BO93" s="105">
        <f t="shared" si="13"/>
        <v>2020</v>
      </c>
      <c r="BP93" s="105">
        <f t="shared" si="13"/>
        <v>2020</v>
      </c>
      <c r="BQ93" s="105">
        <f t="shared" si="13"/>
        <v>2020</v>
      </c>
      <c r="BR93" s="105">
        <f t="shared" si="13"/>
        <v>2020</v>
      </c>
      <c r="BS93" s="105">
        <f t="shared" si="13"/>
        <v>2020</v>
      </c>
      <c r="BT93" s="105">
        <f t="shared" si="13"/>
        <v>2020</v>
      </c>
      <c r="BU93" s="105">
        <f t="shared" si="13"/>
        <v>2020</v>
      </c>
      <c r="BV93" s="105">
        <f t="shared" si="13"/>
        <v>2020</v>
      </c>
      <c r="BW93" s="105">
        <v>2021</v>
      </c>
      <c r="BX93" s="105">
        <f t="shared" ref="BX93:CH93" si="14">YEAR(BX92)</f>
        <v>2021</v>
      </c>
      <c r="BY93" s="105">
        <f t="shared" si="14"/>
        <v>2021</v>
      </c>
      <c r="BZ93" s="105">
        <f t="shared" si="14"/>
        <v>2021</v>
      </c>
      <c r="CA93" s="105">
        <f t="shared" si="14"/>
        <v>2021</v>
      </c>
      <c r="CB93" s="105">
        <f t="shared" si="14"/>
        <v>2021</v>
      </c>
      <c r="CC93" s="105">
        <f t="shared" si="14"/>
        <v>2021</v>
      </c>
      <c r="CD93" s="105">
        <f t="shared" si="14"/>
        <v>2021</v>
      </c>
      <c r="CE93" s="105">
        <f t="shared" si="14"/>
        <v>2021</v>
      </c>
      <c r="CF93" s="105">
        <f t="shared" si="14"/>
        <v>2021</v>
      </c>
      <c r="CG93" s="105">
        <f t="shared" si="14"/>
        <v>2021</v>
      </c>
      <c r="CH93" s="105">
        <f t="shared" si="14"/>
        <v>2021</v>
      </c>
      <c r="CI93" s="105">
        <v>2022</v>
      </c>
      <c r="CJ93" s="105">
        <f t="shared" ref="CJ93:CT93" si="15">YEAR(CJ92)</f>
        <v>2022</v>
      </c>
      <c r="CK93" s="105">
        <f t="shared" si="15"/>
        <v>2022</v>
      </c>
      <c r="CL93" s="105">
        <f t="shared" si="15"/>
        <v>2022</v>
      </c>
      <c r="CM93" s="105">
        <f t="shared" si="15"/>
        <v>2022</v>
      </c>
      <c r="CN93" s="105">
        <f t="shared" si="15"/>
        <v>2022</v>
      </c>
      <c r="CO93" s="105">
        <f t="shared" si="15"/>
        <v>2022</v>
      </c>
      <c r="CP93" s="105">
        <f t="shared" si="15"/>
        <v>2022</v>
      </c>
      <c r="CQ93" s="105">
        <f t="shared" si="15"/>
        <v>2022</v>
      </c>
      <c r="CR93" s="105">
        <f t="shared" si="15"/>
        <v>2022</v>
      </c>
      <c r="CS93" s="105">
        <f t="shared" si="15"/>
        <v>2022</v>
      </c>
      <c r="CT93" s="105">
        <f t="shared" si="15"/>
        <v>2022</v>
      </c>
      <c r="CU93" s="105">
        <v>2023</v>
      </c>
      <c r="CV93" s="105">
        <f t="shared" ref="CV93:DF93" si="16">YEAR(CV92)</f>
        <v>2023</v>
      </c>
      <c r="CW93" s="105">
        <f t="shared" si="16"/>
        <v>2023</v>
      </c>
      <c r="CX93" s="105">
        <f t="shared" si="16"/>
        <v>2023</v>
      </c>
      <c r="CY93" s="105">
        <f t="shared" si="16"/>
        <v>2023</v>
      </c>
      <c r="CZ93" s="105">
        <f t="shared" si="16"/>
        <v>2023</v>
      </c>
      <c r="DA93" s="105">
        <f t="shared" si="16"/>
        <v>2023</v>
      </c>
      <c r="DB93" s="105">
        <f t="shared" si="16"/>
        <v>2023</v>
      </c>
      <c r="DC93" s="105">
        <f t="shared" si="16"/>
        <v>2023</v>
      </c>
      <c r="DD93" s="105">
        <f t="shared" si="16"/>
        <v>2023</v>
      </c>
      <c r="DE93" s="105">
        <f t="shared" si="16"/>
        <v>2023</v>
      </c>
      <c r="DF93" s="105">
        <f t="shared" si="16"/>
        <v>2023</v>
      </c>
      <c r="DG93" s="105">
        <v>2024</v>
      </c>
      <c r="DH93" s="105">
        <f t="shared" ref="DH93:DR93" si="17">YEAR(DH92)</f>
        <v>2024</v>
      </c>
      <c r="DI93" s="105">
        <f t="shared" si="17"/>
        <v>2024</v>
      </c>
      <c r="DJ93" s="105">
        <f t="shared" si="17"/>
        <v>2024</v>
      </c>
      <c r="DK93" s="105">
        <f t="shared" si="17"/>
        <v>2024</v>
      </c>
      <c r="DL93" s="105">
        <f t="shared" si="17"/>
        <v>2024</v>
      </c>
      <c r="DM93" s="105">
        <f t="shared" si="17"/>
        <v>2024</v>
      </c>
      <c r="DN93" s="105">
        <f t="shared" si="17"/>
        <v>2024</v>
      </c>
      <c r="DO93" s="105">
        <f t="shared" si="17"/>
        <v>2024</v>
      </c>
      <c r="DP93" s="105">
        <f t="shared" si="17"/>
        <v>2024</v>
      </c>
      <c r="DQ93" s="105">
        <f t="shared" si="17"/>
        <v>2024</v>
      </c>
      <c r="DR93" s="105">
        <f t="shared" si="17"/>
        <v>2024</v>
      </c>
      <c r="DS93" s="105">
        <v>2025</v>
      </c>
      <c r="DT93" s="105">
        <f t="shared" ref="DT93:ED93" si="18">YEAR(DT92)</f>
        <v>2025</v>
      </c>
      <c r="DU93" s="105">
        <f t="shared" si="18"/>
        <v>2025</v>
      </c>
      <c r="DV93" s="105">
        <f t="shared" si="18"/>
        <v>2025</v>
      </c>
      <c r="DW93" s="105">
        <f t="shared" si="18"/>
        <v>2025</v>
      </c>
      <c r="DX93" s="105">
        <f t="shared" si="18"/>
        <v>2025</v>
      </c>
      <c r="DY93" s="105">
        <f t="shared" si="18"/>
        <v>2025</v>
      </c>
      <c r="DZ93" s="105">
        <f t="shared" si="18"/>
        <v>2025</v>
      </c>
      <c r="EA93" s="105">
        <f t="shared" si="18"/>
        <v>2025</v>
      </c>
      <c r="EB93" s="105">
        <f t="shared" si="18"/>
        <v>2025</v>
      </c>
      <c r="EC93" s="105">
        <f t="shared" si="18"/>
        <v>2025</v>
      </c>
      <c r="ED93" s="105">
        <f t="shared" si="18"/>
        <v>2025</v>
      </c>
      <c r="EE93" s="105">
        <v>2026</v>
      </c>
      <c r="EF93" s="105">
        <f>YEAR(EF92)</f>
        <v>2026</v>
      </c>
      <c r="EG93" s="105">
        <f>YEAR(EG92)</f>
        <v>2026</v>
      </c>
      <c r="EH93" s="105">
        <f>YEAR(EH92)</f>
        <v>2026</v>
      </c>
      <c r="EI93" s="101"/>
      <c r="EJ93" s="101"/>
      <c r="EK93" s="101"/>
      <c r="EL93" s="101"/>
      <c r="EM93" s="101"/>
      <c r="EN93" s="101"/>
      <c r="EO93" s="101"/>
      <c r="EP93" s="101"/>
      <c r="EQ93" s="101"/>
      <c r="ER93" s="101"/>
      <c r="ES93" s="101"/>
      <c r="ET93" s="101"/>
      <c r="EU93" s="101"/>
      <c r="EV93" s="101"/>
      <c r="EW93" s="101"/>
      <c r="EX93" s="101"/>
      <c r="EY93" s="101"/>
      <c r="EZ93" s="101"/>
      <c r="FA93" s="101"/>
      <c r="FB93" s="101"/>
      <c r="FC93" s="101"/>
      <c r="FD93" s="101"/>
      <c r="FE93" s="101"/>
      <c r="FF93" s="101"/>
      <c r="FG93" s="101"/>
      <c r="FH93" s="101"/>
      <c r="FI93" s="101"/>
      <c r="FJ93" s="101"/>
      <c r="FK93" s="101"/>
      <c r="FL93" s="101"/>
      <c r="FM93" s="101"/>
      <c r="FN93" s="101"/>
      <c r="FO93" s="101"/>
      <c r="FP93" s="101"/>
      <c r="FQ93" s="101"/>
      <c r="FR93" s="101"/>
      <c r="FS93" s="101"/>
      <c r="FT93" s="101"/>
      <c r="FU93" s="101"/>
      <c r="FV93" s="101"/>
      <c r="FW93" s="101"/>
      <c r="FX93" s="101"/>
      <c r="FY93" s="101"/>
      <c r="FZ93" s="101"/>
    </row>
    <row r="94" spans="1:182" s="98" customFormat="1" ht="16" thickBot="1">
      <c r="A94" s="102"/>
      <c r="B94" s="105" t="s">
        <v>17</v>
      </c>
      <c r="C94" s="107">
        <v>236463.342336756</v>
      </c>
      <c r="D94" s="107">
        <v>237852.37521388201</v>
      </c>
      <c r="E94" s="107">
        <v>240012.97238703101</v>
      </c>
      <c r="F94" s="107">
        <v>242368.60857514301</v>
      </c>
      <c r="G94" s="107">
        <v>244988.38019130201</v>
      </c>
      <c r="H94" s="107">
        <v>247211.460435938</v>
      </c>
      <c r="I94" s="107">
        <v>249182.159208264</v>
      </c>
      <c r="J94" s="107">
        <v>250481.668095275</v>
      </c>
      <c r="K94" s="107">
        <v>251941.30244832599</v>
      </c>
      <c r="L94" s="107">
        <v>253641.61363478401</v>
      </c>
      <c r="M94" s="107">
        <v>256793.111690007</v>
      </c>
      <c r="N94" s="107">
        <v>260147.030735462</v>
      </c>
      <c r="O94" s="107">
        <v>263929.158884492</v>
      </c>
      <c r="P94" s="107">
        <v>267371.31101663399</v>
      </c>
      <c r="Q94" s="107">
        <v>270496.44029546302</v>
      </c>
      <c r="R94" s="107">
        <v>273518.754700761</v>
      </c>
      <c r="S94" s="107">
        <v>276061.01220072602</v>
      </c>
      <c r="T94" s="107">
        <v>278818.97753880703</v>
      </c>
      <c r="U94" s="107">
        <v>280597.15972939</v>
      </c>
      <c r="V94" s="107">
        <v>281842.30229075899</v>
      </c>
      <c r="W94" s="107">
        <v>282667.43882514403</v>
      </c>
      <c r="X94" s="107">
        <v>284154.368388401</v>
      </c>
      <c r="Y94" s="107">
        <v>286539.64454242098</v>
      </c>
      <c r="Z94" s="107">
        <v>289719.27652503498</v>
      </c>
      <c r="AA94" s="107">
        <v>293274.59803327802</v>
      </c>
      <c r="AB94" s="107">
        <v>297098.81859173998</v>
      </c>
      <c r="AC94" s="107">
        <v>301215.920203057</v>
      </c>
      <c r="AD94" s="107">
        <v>305614.27436871902</v>
      </c>
      <c r="AE94" s="107">
        <v>309483.03656888998</v>
      </c>
      <c r="AF94" s="107">
        <v>312735.20325194899</v>
      </c>
      <c r="AG94" s="107">
        <v>315176.39755818999</v>
      </c>
      <c r="AH94" s="107">
        <v>316700.52615282399</v>
      </c>
      <c r="AI94" s="107">
        <v>317551.191033696</v>
      </c>
      <c r="AJ94" s="107">
        <v>318121.07165668003</v>
      </c>
      <c r="AK94" s="107">
        <v>319875.54430004302</v>
      </c>
      <c r="AL94" s="107">
        <v>322349.32841820898</v>
      </c>
      <c r="AM94" s="107">
        <v>325158.83785021101</v>
      </c>
      <c r="AN94" s="107">
        <v>327585.58882819099</v>
      </c>
      <c r="AO94" s="107">
        <v>330523.21359956998</v>
      </c>
      <c r="AP94" s="107">
        <v>333265.28666532401</v>
      </c>
      <c r="AQ94" s="107">
        <v>336139.07533924503</v>
      </c>
      <c r="AR94" s="107">
        <v>338045.58644112397</v>
      </c>
      <c r="AS94" s="107">
        <v>340162.49814533</v>
      </c>
      <c r="AT94" s="107">
        <v>342027.63833732199</v>
      </c>
      <c r="AU94" s="107">
        <v>343805.12173618702</v>
      </c>
      <c r="AV94" s="107">
        <v>345224.09907605301</v>
      </c>
      <c r="AW94" s="107">
        <v>346811.24361643399</v>
      </c>
      <c r="AX94" s="107">
        <v>348369.23799355299</v>
      </c>
      <c r="AY94" s="107">
        <v>349323.46347507398</v>
      </c>
      <c r="AZ94" s="107">
        <v>349418.00381423999</v>
      </c>
      <c r="BA94" s="107">
        <v>349163.80840977799</v>
      </c>
      <c r="BB94" s="107">
        <v>348561.08744993998</v>
      </c>
      <c r="BC94" s="107">
        <v>347315.837951097</v>
      </c>
      <c r="BD94" s="107">
        <v>346492.97630841599</v>
      </c>
      <c r="BE94" s="107">
        <v>346484.71065474598</v>
      </c>
      <c r="BF94" s="107">
        <v>346829.22993546602</v>
      </c>
      <c r="BG94" s="107">
        <v>346647.25800181198</v>
      </c>
      <c r="BH94" s="107">
        <v>346800.87947506597</v>
      </c>
      <c r="BI94" s="107">
        <v>347166.36574559199</v>
      </c>
      <c r="BJ94" s="107">
        <v>348007.47661441797</v>
      </c>
      <c r="BK94" s="107">
        <v>350100.256920307</v>
      </c>
      <c r="BL94" s="107">
        <v>353369.28973435302</v>
      </c>
      <c r="BM94" s="107">
        <v>356660.36201219202</v>
      </c>
      <c r="BN94" s="107">
        <v>357791.532664078</v>
      </c>
      <c r="BO94" s="107">
        <v>357429.58055447898</v>
      </c>
      <c r="BP94" s="107">
        <v>356636.40647306701</v>
      </c>
      <c r="BQ94" s="107">
        <v>357156.48799101199</v>
      </c>
      <c r="BR94" s="107">
        <v>359617.46629416803</v>
      </c>
      <c r="BS94" s="107">
        <v>363841.67992993398</v>
      </c>
      <c r="BT94" s="107">
        <v>368664.62636434101</v>
      </c>
      <c r="BU94" s="107">
        <v>373305.71766168502</v>
      </c>
      <c r="BV94" s="107">
        <v>377511.85219012602</v>
      </c>
      <c r="BW94" s="107">
        <v>381202.40576340101</v>
      </c>
      <c r="BX94" s="107">
        <v>385843.364109635</v>
      </c>
      <c r="BY94" s="107">
        <v>391025.45743492298</v>
      </c>
      <c r="BZ94" s="107">
        <v>395982.82045691297</v>
      </c>
      <c r="CA94" s="107">
        <v>399983.65930446901</v>
      </c>
      <c r="CB94" s="107">
        <v>403179.15850892302</v>
      </c>
      <c r="CC94" s="107">
        <v>405669.49343875702</v>
      </c>
      <c r="CD94" s="107">
        <v>407346.91696140397</v>
      </c>
      <c r="CE94" s="107">
        <v>408036.34136651602</v>
      </c>
      <c r="CF94" s="107">
        <v>409608.23769327998</v>
      </c>
      <c r="CG94" s="107">
        <v>412204.32357959298</v>
      </c>
      <c r="CH94" s="107">
        <v>415859.10341841303</v>
      </c>
      <c r="CI94" s="107">
        <v>420809.94387698901</v>
      </c>
      <c r="CJ94" s="107">
        <v>425877.63179289602</v>
      </c>
      <c r="CK94" s="107">
        <v>432006.82990373299</v>
      </c>
      <c r="CL94" s="107">
        <v>437835.77626683499</v>
      </c>
      <c r="CM94" s="107">
        <v>443960.64189531101</v>
      </c>
      <c r="CN94" s="107">
        <v>449236.38908075698</v>
      </c>
      <c r="CO94" s="107">
        <v>452012.85235464497</v>
      </c>
      <c r="CP94" s="107">
        <v>452236.726319957</v>
      </c>
      <c r="CQ94" s="107">
        <v>450401.04660933401</v>
      </c>
      <c r="CR94" s="107">
        <v>449237.54860045499</v>
      </c>
      <c r="CS94" s="107">
        <v>448602.613233376</v>
      </c>
      <c r="CT94" s="107">
        <v>448491.94158956601</v>
      </c>
      <c r="CU94" s="107">
        <v>447939.16183703602</v>
      </c>
      <c r="CV94" s="107">
        <v>447232.70838780201</v>
      </c>
      <c r="CW94" s="107">
        <v>447367.84237121599</v>
      </c>
      <c r="CX94" s="107">
        <v>448675.74987872201</v>
      </c>
      <c r="CY94" s="107">
        <v>451476.32655583997</v>
      </c>
      <c r="CZ94" s="107">
        <v>454234.46097704303</v>
      </c>
      <c r="DA94" s="107">
        <v>457379.27050998801</v>
      </c>
      <c r="DB94" s="107">
        <v>460546.93880140799</v>
      </c>
      <c r="DC94" s="107">
        <v>463898.480268221</v>
      </c>
      <c r="DD94" s="107">
        <v>467511.78072316898</v>
      </c>
      <c r="DE94" s="107">
        <v>470824.19284015399</v>
      </c>
      <c r="DF94" s="107">
        <v>473712.11610127002</v>
      </c>
      <c r="DG94" s="107">
        <v>475600.91991330503</v>
      </c>
      <c r="DH94" s="107">
        <v>477805.89257124299</v>
      </c>
      <c r="DI94" s="107">
        <v>480523.37079193903</v>
      </c>
      <c r="DJ94" s="107">
        <v>483001.41141648602</v>
      </c>
      <c r="DK94" s="107">
        <v>484208.61993193597</v>
      </c>
      <c r="DL94" s="107">
        <v>484310.816229505</v>
      </c>
      <c r="DM94" s="107">
        <v>483429.72890451999</v>
      </c>
      <c r="DN94" s="107">
        <v>481940.48502251902</v>
      </c>
      <c r="DO94" s="107">
        <v>481007.02818328701</v>
      </c>
      <c r="DP94" s="107">
        <v>481004.771619212</v>
      </c>
      <c r="DQ94" s="107">
        <v>482000.93257312599</v>
      </c>
      <c r="DR94" s="107">
        <v>482998.49492159701</v>
      </c>
      <c r="DS94" s="107">
        <v>483908.238169819</v>
      </c>
      <c r="DT94" s="107">
        <v>484599.26102978602</v>
      </c>
      <c r="DU94" s="107">
        <v>484356.019118367</v>
      </c>
      <c r="DV94" s="107">
        <v>483876.59422247001</v>
      </c>
      <c r="DW94" s="107">
        <v>482776.82594086498</v>
      </c>
      <c r="DX94" s="107">
        <v>481419.39386578399</v>
      </c>
      <c r="DY94" s="107">
        <v>480456.07692200301</v>
      </c>
      <c r="DZ94" s="107">
        <v>479752.79853147099</v>
      </c>
      <c r="EA94" s="107">
        <v>480357.97230301698</v>
      </c>
      <c r="EB94" s="107">
        <v>481227.64624770603</v>
      </c>
      <c r="EC94" s="107">
        <v>482683.73250263702</v>
      </c>
      <c r="ED94" s="107">
        <v>483902.16684150399</v>
      </c>
      <c r="EE94" s="107">
        <v>484973.558113879</v>
      </c>
      <c r="EF94" s="107">
        <v>486062.045752201</v>
      </c>
      <c r="EG94" s="107">
        <v>486121.91162053897</v>
      </c>
      <c r="EH94" s="108">
        <v>485866.023870631</v>
      </c>
      <c r="EI94" s="99"/>
      <c r="EJ94" s="99"/>
      <c r="EK94" s="99"/>
      <c r="EL94" s="99"/>
      <c r="EM94" s="99"/>
      <c r="EN94" s="99"/>
      <c r="EO94" s="99"/>
      <c r="EP94" s="99"/>
      <c r="EQ94" s="99"/>
      <c r="ER94" s="99"/>
      <c r="ES94" s="99"/>
      <c r="ET94" s="99"/>
      <c r="EU94" s="99"/>
      <c r="EV94" s="99"/>
      <c r="EW94" s="99"/>
      <c r="EX94" s="99"/>
      <c r="EY94" s="99"/>
      <c r="EZ94" s="99"/>
      <c r="FA94" s="99"/>
      <c r="FB94" s="99"/>
      <c r="FC94" s="99"/>
      <c r="FD94" s="99"/>
      <c r="FE94" s="99"/>
      <c r="FF94" s="99"/>
      <c r="FG94" s="99"/>
      <c r="FH94" s="99"/>
      <c r="FI94" s="99"/>
      <c r="FJ94" s="99"/>
      <c r="FK94" s="99"/>
      <c r="FL94" s="99"/>
      <c r="FM94" s="99"/>
      <c r="FN94" s="99"/>
      <c r="FO94" s="99"/>
      <c r="FP94" s="99"/>
      <c r="FQ94" s="99"/>
      <c r="FR94" s="99"/>
      <c r="FS94" s="99"/>
      <c r="FT94" s="99"/>
      <c r="FU94" s="99"/>
      <c r="FV94" s="99"/>
      <c r="FW94" s="99"/>
      <c r="FX94" s="99"/>
      <c r="FY94" s="99"/>
      <c r="FZ94" s="99"/>
    </row>
    <row r="95" spans="1:182">
      <c r="A95" s="268" t="s">
        <v>208</v>
      </c>
      <c r="B95" s="266" t="s">
        <v>207</v>
      </c>
      <c r="C95" s="267"/>
    </row>
    <row r="96" spans="1:182">
      <c r="A96" s="269"/>
      <c r="B96" s="4">
        <v>2015</v>
      </c>
      <c r="C96" s="103">
        <f>AVERAGEIF($C$93:$EH$93,B96, $C$94:$EH$94)</f>
        <v>247590.33541268087</v>
      </c>
      <c r="H96"/>
      <c r="I96"/>
      <c r="J96"/>
    </row>
    <row r="97" spans="1:10">
      <c r="A97" s="269"/>
      <c r="B97" s="4">
        <v>2016</v>
      </c>
      <c r="C97" s="103">
        <f t="shared" ref="C97:C106" si="19">AVERAGEIF($C$93:$EH$93,B97, $C$94:$EH$94)</f>
        <v>277976.32041150273</v>
      </c>
      <c r="H97"/>
      <c r="I97"/>
      <c r="J97"/>
    </row>
    <row r="98" spans="1:10">
      <c r="A98" s="269"/>
      <c r="B98" s="4">
        <v>2017</v>
      </c>
      <c r="C98" s="103">
        <f t="shared" si="19"/>
        <v>310766.32584477292</v>
      </c>
      <c r="H98"/>
      <c r="I98"/>
      <c r="J98"/>
    </row>
    <row r="99" spans="1:10">
      <c r="A99" s="269"/>
      <c r="B99" s="4">
        <v>2018</v>
      </c>
      <c r="C99" s="103">
        <f t="shared" si="19"/>
        <v>338093.11896904529</v>
      </c>
      <c r="H99"/>
      <c r="I99"/>
      <c r="J99"/>
    </row>
    <row r="100" spans="1:10">
      <c r="A100" s="269"/>
      <c r="B100" s="4">
        <v>2019</v>
      </c>
      <c r="C100" s="103">
        <f t="shared" si="19"/>
        <v>347684.25815297035</v>
      </c>
      <c r="H100"/>
      <c r="I100"/>
      <c r="J100"/>
    </row>
    <row r="101" spans="1:10">
      <c r="A101" s="269"/>
      <c r="B101" s="4">
        <v>2020</v>
      </c>
      <c r="C101" s="103">
        <f t="shared" si="19"/>
        <v>361007.1048991452</v>
      </c>
      <c r="H101"/>
      <c r="I101"/>
      <c r="J101"/>
    </row>
    <row r="102" spans="1:10">
      <c r="A102" s="269"/>
      <c r="B102" s="4">
        <v>2021</v>
      </c>
      <c r="C102" s="103">
        <f t="shared" si="19"/>
        <v>401328.44016968552</v>
      </c>
      <c r="H102"/>
      <c r="I102"/>
      <c r="J102"/>
    </row>
    <row r="103" spans="1:10">
      <c r="A103" s="269"/>
      <c r="B103" s="4">
        <v>2022</v>
      </c>
      <c r="C103" s="103">
        <f t="shared" si="19"/>
        <v>442559.16179365455</v>
      </c>
      <c r="H103"/>
      <c r="I103"/>
      <c r="J103"/>
    </row>
    <row r="104" spans="1:10">
      <c r="A104" s="269"/>
      <c r="B104" s="4">
        <v>2023</v>
      </c>
      <c r="C104" s="103">
        <f t="shared" si="19"/>
        <v>457566.58577098907</v>
      </c>
      <c r="H104"/>
      <c r="I104"/>
      <c r="J104"/>
    </row>
    <row r="105" spans="1:10">
      <c r="A105" s="269"/>
      <c r="B105" s="4">
        <v>2024</v>
      </c>
      <c r="C105" s="103">
        <f t="shared" si="19"/>
        <v>481486.03933988954</v>
      </c>
      <c r="H105"/>
      <c r="I105"/>
      <c r="J105"/>
    </row>
    <row r="106" spans="1:10" ht="16" thickBot="1">
      <c r="A106" s="270"/>
      <c r="B106" s="55">
        <v>2025</v>
      </c>
      <c r="C106" s="104">
        <f t="shared" si="19"/>
        <v>482443.06047461921</v>
      </c>
      <c r="D106" s="24">
        <f>(C106-C96)/C96</f>
        <v>0.94855368514481142</v>
      </c>
      <c r="H106"/>
      <c r="I106"/>
      <c r="J106"/>
    </row>
    <row r="107" spans="1:10">
      <c r="H107"/>
      <c r="I107"/>
      <c r="J107"/>
    </row>
    <row r="108" spans="1:10">
      <c r="H108"/>
      <c r="I108"/>
      <c r="J108"/>
    </row>
    <row r="109" spans="1:10">
      <c r="H109"/>
      <c r="I109"/>
      <c r="J109"/>
    </row>
    <row r="110" spans="1:10">
      <c r="H110"/>
      <c r="I110"/>
      <c r="J110"/>
    </row>
    <row r="111" spans="1:10">
      <c r="H111"/>
      <c r="I111"/>
      <c r="J111"/>
    </row>
    <row r="112" spans="1:10">
      <c r="H112"/>
      <c r="I112"/>
      <c r="J112"/>
    </row>
    <row r="113" spans="8:10">
      <c r="H113"/>
      <c r="I113"/>
      <c r="J113"/>
    </row>
  </sheetData>
  <mergeCells count="8212">
    <mergeCell ref="B95:C95"/>
    <mergeCell ref="A95:A106"/>
    <mergeCell ref="A70:A74"/>
    <mergeCell ref="C70:D70"/>
    <mergeCell ref="E70:F70"/>
    <mergeCell ref="G70:H70"/>
    <mergeCell ref="A59:A66"/>
    <mergeCell ref="G16:H16"/>
    <mergeCell ref="A16:A20"/>
    <mergeCell ref="C2:D2"/>
    <mergeCell ref="E2:F2"/>
    <mergeCell ref="G2:H2"/>
    <mergeCell ref="A2:A6"/>
    <mergeCell ref="A8:A12"/>
    <mergeCell ref="A26:A35"/>
    <mergeCell ref="B26:F26"/>
    <mergeCell ref="B38:E38"/>
    <mergeCell ref="A38:A54"/>
    <mergeCell ref="B37:E37"/>
    <mergeCell ref="AE78:AF78"/>
    <mergeCell ref="AG78:AH78"/>
    <mergeCell ref="AI78:AJ78"/>
    <mergeCell ref="AK78:AL78"/>
    <mergeCell ref="AM78:AN78"/>
    <mergeCell ref="U78:V78"/>
    <mergeCell ref="W78:X78"/>
    <mergeCell ref="Y78:Z78"/>
    <mergeCell ref="AA78:AB78"/>
    <mergeCell ref="AC78:AD78"/>
    <mergeCell ref="K78:L78"/>
    <mergeCell ref="M78:N78"/>
    <mergeCell ref="O78:P78"/>
    <mergeCell ref="Q78:R78"/>
    <mergeCell ref="S78:T78"/>
    <mergeCell ref="I70:J70"/>
    <mergeCell ref="C78:D78"/>
    <mergeCell ref="E78:F78"/>
    <mergeCell ref="G78:H78"/>
    <mergeCell ref="I78:J78"/>
    <mergeCell ref="BS78:BT78"/>
    <mergeCell ref="BU78:BV78"/>
    <mergeCell ref="BW78:BX78"/>
    <mergeCell ref="BY78:BZ78"/>
    <mergeCell ref="CA78:CB78"/>
    <mergeCell ref="BI78:BJ78"/>
    <mergeCell ref="BK78:BL78"/>
    <mergeCell ref="BM78:BN78"/>
    <mergeCell ref="BO78:BP78"/>
    <mergeCell ref="BQ78:BR78"/>
    <mergeCell ref="AY78:AZ78"/>
    <mergeCell ref="BA78:BB78"/>
    <mergeCell ref="BC78:BD78"/>
    <mergeCell ref="BE78:BF78"/>
    <mergeCell ref="BG78:BH78"/>
    <mergeCell ref="AO78:AP78"/>
    <mergeCell ref="AQ78:AR78"/>
    <mergeCell ref="AS78:AT78"/>
    <mergeCell ref="AU78:AV78"/>
    <mergeCell ref="AW78:AX78"/>
    <mergeCell ref="DG78:DH78"/>
    <mergeCell ref="DI78:DJ78"/>
    <mergeCell ref="DK78:DL78"/>
    <mergeCell ref="DM78:DN78"/>
    <mergeCell ref="DO78:DP78"/>
    <mergeCell ref="CW78:CX78"/>
    <mergeCell ref="CY78:CZ78"/>
    <mergeCell ref="DA78:DB78"/>
    <mergeCell ref="DC78:DD78"/>
    <mergeCell ref="DE78:DF78"/>
    <mergeCell ref="CM78:CN78"/>
    <mergeCell ref="CO78:CP78"/>
    <mergeCell ref="CQ78:CR78"/>
    <mergeCell ref="CS78:CT78"/>
    <mergeCell ref="CU78:CV78"/>
    <mergeCell ref="CC78:CD78"/>
    <mergeCell ref="CE78:CF78"/>
    <mergeCell ref="CG78:CH78"/>
    <mergeCell ref="CI78:CJ78"/>
    <mergeCell ref="CK78:CL78"/>
    <mergeCell ref="EU78:EV78"/>
    <mergeCell ref="EW78:EX78"/>
    <mergeCell ref="EY78:EZ78"/>
    <mergeCell ref="FA78:FB78"/>
    <mergeCell ref="FC78:FD78"/>
    <mergeCell ref="EK78:EL78"/>
    <mergeCell ref="EM78:EN78"/>
    <mergeCell ref="EO78:EP78"/>
    <mergeCell ref="EQ78:ER78"/>
    <mergeCell ref="ES78:ET78"/>
    <mergeCell ref="EA78:EB78"/>
    <mergeCell ref="EC78:ED78"/>
    <mergeCell ref="EE78:EF78"/>
    <mergeCell ref="EG78:EH78"/>
    <mergeCell ref="EI78:EJ78"/>
    <mergeCell ref="DQ78:DR78"/>
    <mergeCell ref="DS78:DT78"/>
    <mergeCell ref="DU78:DV78"/>
    <mergeCell ref="DW78:DX78"/>
    <mergeCell ref="DY78:DZ78"/>
    <mergeCell ref="GI78:GJ78"/>
    <mergeCell ref="GK78:GL78"/>
    <mergeCell ref="GM78:GN78"/>
    <mergeCell ref="GO78:GP78"/>
    <mergeCell ref="GQ78:GR78"/>
    <mergeCell ref="FY78:FZ78"/>
    <mergeCell ref="GA78:GB78"/>
    <mergeCell ref="GC78:GD78"/>
    <mergeCell ref="GE78:GF78"/>
    <mergeCell ref="GG78:GH78"/>
    <mergeCell ref="FO78:FP78"/>
    <mergeCell ref="FQ78:FR78"/>
    <mergeCell ref="FS78:FT78"/>
    <mergeCell ref="FU78:FV78"/>
    <mergeCell ref="FW78:FX78"/>
    <mergeCell ref="FE78:FF78"/>
    <mergeCell ref="FG78:FH78"/>
    <mergeCell ref="FI78:FJ78"/>
    <mergeCell ref="FK78:FL78"/>
    <mergeCell ref="FM78:FN78"/>
    <mergeCell ref="HW78:HX78"/>
    <mergeCell ref="HY78:HZ78"/>
    <mergeCell ref="IA78:IB78"/>
    <mergeCell ref="IC78:ID78"/>
    <mergeCell ref="IE78:IF78"/>
    <mergeCell ref="HM78:HN78"/>
    <mergeCell ref="HO78:HP78"/>
    <mergeCell ref="HQ78:HR78"/>
    <mergeCell ref="HS78:HT78"/>
    <mergeCell ref="HU78:HV78"/>
    <mergeCell ref="HC78:HD78"/>
    <mergeCell ref="HE78:HF78"/>
    <mergeCell ref="HG78:HH78"/>
    <mergeCell ref="HI78:HJ78"/>
    <mergeCell ref="HK78:HL78"/>
    <mergeCell ref="GS78:GT78"/>
    <mergeCell ref="GU78:GV78"/>
    <mergeCell ref="GW78:GX78"/>
    <mergeCell ref="GY78:GZ78"/>
    <mergeCell ref="HA78:HB78"/>
    <mergeCell ref="JK78:JL78"/>
    <mergeCell ref="JM78:JN78"/>
    <mergeCell ref="JO78:JP78"/>
    <mergeCell ref="JQ78:JR78"/>
    <mergeCell ref="JS78:JT78"/>
    <mergeCell ref="JA78:JB78"/>
    <mergeCell ref="JC78:JD78"/>
    <mergeCell ref="JE78:JF78"/>
    <mergeCell ref="JG78:JH78"/>
    <mergeCell ref="JI78:JJ78"/>
    <mergeCell ref="IQ78:IR78"/>
    <mergeCell ref="IS78:IT78"/>
    <mergeCell ref="IU78:IV78"/>
    <mergeCell ref="IW78:IX78"/>
    <mergeCell ref="IY78:IZ78"/>
    <mergeCell ref="IG78:IH78"/>
    <mergeCell ref="II78:IJ78"/>
    <mergeCell ref="IK78:IL78"/>
    <mergeCell ref="IM78:IN78"/>
    <mergeCell ref="IO78:IP78"/>
    <mergeCell ref="KY78:KZ78"/>
    <mergeCell ref="LA78:LB78"/>
    <mergeCell ref="LC78:LD78"/>
    <mergeCell ref="LE78:LF78"/>
    <mergeCell ref="LG78:LH78"/>
    <mergeCell ref="KO78:KP78"/>
    <mergeCell ref="KQ78:KR78"/>
    <mergeCell ref="KS78:KT78"/>
    <mergeCell ref="KU78:KV78"/>
    <mergeCell ref="KW78:KX78"/>
    <mergeCell ref="KE78:KF78"/>
    <mergeCell ref="KG78:KH78"/>
    <mergeCell ref="KI78:KJ78"/>
    <mergeCell ref="KK78:KL78"/>
    <mergeCell ref="KM78:KN78"/>
    <mergeCell ref="JU78:JV78"/>
    <mergeCell ref="JW78:JX78"/>
    <mergeCell ref="JY78:JZ78"/>
    <mergeCell ref="KA78:KB78"/>
    <mergeCell ref="KC78:KD78"/>
    <mergeCell ref="MM78:MN78"/>
    <mergeCell ref="MO78:MP78"/>
    <mergeCell ref="MQ78:MR78"/>
    <mergeCell ref="MS78:MT78"/>
    <mergeCell ref="MU78:MV78"/>
    <mergeCell ref="MC78:MD78"/>
    <mergeCell ref="ME78:MF78"/>
    <mergeCell ref="MG78:MH78"/>
    <mergeCell ref="MI78:MJ78"/>
    <mergeCell ref="MK78:ML78"/>
    <mergeCell ref="LS78:LT78"/>
    <mergeCell ref="LU78:LV78"/>
    <mergeCell ref="LW78:LX78"/>
    <mergeCell ref="LY78:LZ78"/>
    <mergeCell ref="MA78:MB78"/>
    <mergeCell ref="LI78:LJ78"/>
    <mergeCell ref="LK78:LL78"/>
    <mergeCell ref="LM78:LN78"/>
    <mergeCell ref="LO78:LP78"/>
    <mergeCell ref="LQ78:LR78"/>
    <mergeCell ref="OA78:OB78"/>
    <mergeCell ref="OC78:OD78"/>
    <mergeCell ref="OE78:OF78"/>
    <mergeCell ref="OG78:OH78"/>
    <mergeCell ref="OI78:OJ78"/>
    <mergeCell ref="NQ78:NR78"/>
    <mergeCell ref="NS78:NT78"/>
    <mergeCell ref="NU78:NV78"/>
    <mergeCell ref="NW78:NX78"/>
    <mergeCell ref="NY78:NZ78"/>
    <mergeCell ref="NG78:NH78"/>
    <mergeCell ref="NI78:NJ78"/>
    <mergeCell ref="NK78:NL78"/>
    <mergeCell ref="NM78:NN78"/>
    <mergeCell ref="NO78:NP78"/>
    <mergeCell ref="MW78:MX78"/>
    <mergeCell ref="MY78:MZ78"/>
    <mergeCell ref="NA78:NB78"/>
    <mergeCell ref="NC78:ND78"/>
    <mergeCell ref="NE78:NF78"/>
    <mergeCell ref="PO78:PP78"/>
    <mergeCell ref="PQ78:PR78"/>
    <mergeCell ref="PS78:PT78"/>
    <mergeCell ref="PU78:PV78"/>
    <mergeCell ref="PW78:PX78"/>
    <mergeCell ref="PE78:PF78"/>
    <mergeCell ref="PG78:PH78"/>
    <mergeCell ref="PI78:PJ78"/>
    <mergeCell ref="PK78:PL78"/>
    <mergeCell ref="PM78:PN78"/>
    <mergeCell ref="OU78:OV78"/>
    <mergeCell ref="OW78:OX78"/>
    <mergeCell ref="OY78:OZ78"/>
    <mergeCell ref="PA78:PB78"/>
    <mergeCell ref="PC78:PD78"/>
    <mergeCell ref="OK78:OL78"/>
    <mergeCell ref="OM78:ON78"/>
    <mergeCell ref="OO78:OP78"/>
    <mergeCell ref="OQ78:OR78"/>
    <mergeCell ref="OS78:OT78"/>
    <mergeCell ref="RC78:RD78"/>
    <mergeCell ref="RE78:RF78"/>
    <mergeCell ref="RG78:RH78"/>
    <mergeCell ref="RI78:RJ78"/>
    <mergeCell ref="RK78:RL78"/>
    <mergeCell ref="QS78:QT78"/>
    <mergeCell ref="QU78:QV78"/>
    <mergeCell ref="QW78:QX78"/>
    <mergeCell ref="QY78:QZ78"/>
    <mergeCell ref="RA78:RB78"/>
    <mergeCell ref="QI78:QJ78"/>
    <mergeCell ref="QK78:QL78"/>
    <mergeCell ref="QM78:QN78"/>
    <mergeCell ref="QO78:QP78"/>
    <mergeCell ref="QQ78:QR78"/>
    <mergeCell ref="PY78:PZ78"/>
    <mergeCell ref="QA78:QB78"/>
    <mergeCell ref="QC78:QD78"/>
    <mergeCell ref="QE78:QF78"/>
    <mergeCell ref="QG78:QH78"/>
    <mergeCell ref="SQ78:SR78"/>
    <mergeCell ref="SS78:ST78"/>
    <mergeCell ref="SU78:SV78"/>
    <mergeCell ref="SW78:SX78"/>
    <mergeCell ref="SY78:SZ78"/>
    <mergeCell ref="SG78:SH78"/>
    <mergeCell ref="SI78:SJ78"/>
    <mergeCell ref="SK78:SL78"/>
    <mergeCell ref="SM78:SN78"/>
    <mergeCell ref="SO78:SP78"/>
    <mergeCell ref="RW78:RX78"/>
    <mergeCell ref="RY78:RZ78"/>
    <mergeCell ref="SA78:SB78"/>
    <mergeCell ref="SC78:SD78"/>
    <mergeCell ref="SE78:SF78"/>
    <mergeCell ref="RM78:RN78"/>
    <mergeCell ref="RO78:RP78"/>
    <mergeCell ref="RQ78:RR78"/>
    <mergeCell ref="RS78:RT78"/>
    <mergeCell ref="RU78:RV78"/>
    <mergeCell ref="UE78:UF78"/>
    <mergeCell ref="UG78:UH78"/>
    <mergeCell ref="UI78:UJ78"/>
    <mergeCell ref="UK78:UL78"/>
    <mergeCell ref="UM78:UN78"/>
    <mergeCell ref="TU78:TV78"/>
    <mergeCell ref="TW78:TX78"/>
    <mergeCell ref="TY78:TZ78"/>
    <mergeCell ref="UA78:UB78"/>
    <mergeCell ref="UC78:UD78"/>
    <mergeCell ref="TK78:TL78"/>
    <mergeCell ref="TM78:TN78"/>
    <mergeCell ref="TO78:TP78"/>
    <mergeCell ref="TQ78:TR78"/>
    <mergeCell ref="TS78:TT78"/>
    <mergeCell ref="TA78:TB78"/>
    <mergeCell ref="TC78:TD78"/>
    <mergeCell ref="TE78:TF78"/>
    <mergeCell ref="TG78:TH78"/>
    <mergeCell ref="TI78:TJ78"/>
    <mergeCell ref="VS78:VT78"/>
    <mergeCell ref="VU78:VV78"/>
    <mergeCell ref="VW78:VX78"/>
    <mergeCell ref="VY78:VZ78"/>
    <mergeCell ref="WA78:WB78"/>
    <mergeCell ref="VI78:VJ78"/>
    <mergeCell ref="VK78:VL78"/>
    <mergeCell ref="VM78:VN78"/>
    <mergeCell ref="VO78:VP78"/>
    <mergeCell ref="VQ78:VR78"/>
    <mergeCell ref="UY78:UZ78"/>
    <mergeCell ref="VA78:VB78"/>
    <mergeCell ref="VC78:VD78"/>
    <mergeCell ref="VE78:VF78"/>
    <mergeCell ref="VG78:VH78"/>
    <mergeCell ref="UO78:UP78"/>
    <mergeCell ref="UQ78:UR78"/>
    <mergeCell ref="US78:UT78"/>
    <mergeCell ref="UU78:UV78"/>
    <mergeCell ref="UW78:UX78"/>
    <mergeCell ref="XG78:XH78"/>
    <mergeCell ref="XI78:XJ78"/>
    <mergeCell ref="XK78:XL78"/>
    <mergeCell ref="XM78:XN78"/>
    <mergeCell ref="XO78:XP78"/>
    <mergeCell ref="WW78:WX78"/>
    <mergeCell ref="WY78:WZ78"/>
    <mergeCell ref="XA78:XB78"/>
    <mergeCell ref="XC78:XD78"/>
    <mergeCell ref="XE78:XF78"/>
    <mergeCell ref="WM78:WN78"/>
    <mergeCell ref="WO78:WP78"/>
    <mergeCell ref="WQ78:WR78"/>
    <mergeCell ref="WS78:WT78"/>
    <mergeCell ref="WU78:WV78"/>
    <mergeCell ref="WC78:WD78"/>
    <mergeCell ref="WE78:WF78"/>
    <mergeCell ref="WG78:WH78"/>
    <mergeCell ref="WI78:WJ78"/>
    <mergeCell ref="WK78:WL78"/>
    <mergeCell ref="YU78:YV78"/>
    <mergeCell ref="YW78:YX78"/>
    <mergeCell ref="YY78:YZ78"/>
    <mergeCell ref="ZA78:ZB78"/>
    <mergeCell ref="ZC78:ZD78"/>
    <mergeCell ref="YK78:YL78"/>
    <mergeCell ref="YM78:YN78"/>
    <mergeCell ref="YO78:YP78"/>
    <mergeCell ref="YQ78:YR78"/>
    <mergeCell ref="YS78:YT78"/>
    <mergeCell ref="YA78:YB78"/>
    <mergeCell ref="YC78:YD78"/>
    <mergeCell ref="YE78:YF78"/>
    <mergeCell ref="YG78:YH78"/>
    <mergeCell ref="YI78:YJ78"/>
    <mergeCell ref="XQ78:XR78"/>
    <mergeCell ref="XS78:XT78"/>
    <mergeCell ref="XU78:XV78"/>
    <mergeCell ref="XW78:XX78"/>
    <mergeCell ref="XY78:XZ78"/>
    <mergeCell ref="AAI78:AAJ78"/>
    <mergeCell ref="AAK78:AAL78"/>
    <mergeCell ref="AAM78:AAN78"/>
    <mergeCell ref="AAO78:AAP78"/>
    <mergeCell ref="AAQ78:AAR78"/>
    <mergeCell ref="ZY78:ZZ78"/>
    <mergeCell ref="AAA78:AAB78"/>
    <mergeCell ref="AAC78:AAD78"/>
    <mergeCell ref="AAE78:AAF78"/>
    <mergeCell ref="AAG78:AAH78"/>
    <mergeCell ref="ZO78:ZP78"/>
    <mergeCell ref="ZQ78:ZR78"/>
    <mergeCell ref="ZS78:ZT78"/>
    <mergeCell ref="ZU78:ZV78"/>
    <mergeCell ref="ZW78:ZX78"/>
    <mergeCell ref="ZE78:ZF78"/>
    <mergeCell ref="ZG78:ZH78"/>
    <mergeCell ref="ZI78:ZJ78"/>
    <mergeCell ref="ZK78:ZL78"/>
    <mergeCell ref="ZM78:ZN78"/>
    <mergeCell ref="ABW78:ABX78"/>
    <mergeCell ref="ABY78:ABZ78"/>
    <mergeCell ref="ACA78:ACB78"/>
    <mergeCell ref="ACC78:ACD78"/>
    <mergeCell ref="ACE78:ACF78"/>
    <mergeCell ref="ABM78:ABN78"/>
    <mergeCell ref="ABO78:ABP78"/>
    <mergeCell ref="ABQ78:ABR78"/>
    <mergeCell ref="ABS78:ABT78"/>
    <mergeCell ref="ABU78:ABV78"/>
    <mergeCell ref="ABC78:ABD78"/>
    <mergeCell ref="ABE78:ABF78"/>
    <mergeCell ref="ABG78:ABH78"/>
    <mergeCell ref="ABI78:ABJ78"/>
    <mergeCell ref="ABK78:ABL78"/>
    <mergeCell ref="AAS78:AAT78"/>
    <mergeCell ref="AAU78:AAV78"/>
    <mergeCell ref="AAW78:AAX78"/>
    <mergeCell ref="AAY78:AAZ78"/>
    <mergeCell ref="ABA78:ABB78"/>
    <mergeCell ref="ADK78:ADL78"/>
    <mergeCell ref="ADM78:ADN78"/>
    <mergeCell ref="ADO78:ADP78"/>
    <mergeCell ref="ADQ78:ADR78"/>
    <mergeCell ref="ADS78:ADT78"/>
    <mergeCell ref="ADA78:ADB78"/>
    <mergeCell ref="ADC78:ADD78"/>
    <mergeCell ref="ADE78:ADF78"/>
    <mergeCell ref="ADG78:ADH78"/>
    <mergeCell ref="ADI78:ADJ78"/>
    <mergeCell ref="ACQ78:ACR78"/>
    <mergeCell ref="ACS78:ACT78"/>
    <mergeCell ref="ACU78:ACV78"/>
    <mergeCell ref="ACW78:ACX78"/>
    <mergeCell ref="ACY78:ACZ78"/>
    <mergeCell ref="ACG78:ACH78"/>
    <mergeCell ref="ACI78:ACJ78"/>
    <mergeCell ref="ACK78:ACL78"/>
    <mergeCell ref="ACM78:ACN78"/>
    <mergeCell ref="ACO78:ACP78"/>
    <mergeCell ref="AEY78:AEZ78"/>
    <mergeCell ref="AFA78:AFB78"/>
    <mergeCell ref="AFC78:AFD78"/>
    <mergeCell ref="AFE78:AFF78"/>
    <mergeCell ref="AFG78:AFH78"/>
    <mergeCell ref="AEO78:AEP78"/>
    <mergeCell ref="AEQ78:AER78"/>
    <mergeCell ref="AES78:AET78"/>
    <mergeCell ref="AEU78:AEV78"/>
    <mergeCell ref="AEW78:AEX78"/>
    <mergeCell ref="AEE78:AEF78"/>
    <mergeCell ref="AEG78:AEH78"/>
    <mergeCell ref="AEI78:AEJ78"/>
    <mergeCell ref="AEK78:AEL78"/>
    <mergeCell ref="AEM78:AEN78"/>
    <mergeCell ref="ADU78:ADV78"/>
    <mergeCell ref="ADW78:ADX78"/>
    <mergeCell ref="ADY78:ADZ78"/>
    <mergeCell ref="AEA78:AEB78"/>
    <mergeCell ref="AEC78:AED78"/>
    <mergeCell ref="AGM78:AGN78"/>
    <mergeCell ref="AGO78:AGP78"/>
    <mergeCell ref="AGQ78:AGR78"/>
    <mergeCell ref="AGS78:AGT78"/>
    <mergeCell ref="AGU78:AGV78"/>
    <mergeCell ref="AGC78:AGD78"/>
    <mergeCell ref="AGE78:AGF78"/>
    <mergeCell ref="AGG78:AGH78"/>
    <mergeCell ref="AGI78:AGJ78"/>
    <mergeCell ref="AGK78:AGL78"/>
    <mergeCell ref="AFS78:AFT78"/>
    <mergeCell ref="AFU78:AFV78"/>
    <mergeCell ref="AFW78:AFX78"/>
    <mergeCell ref="AFY78:AFZ78"/>
    <mergeCell ref="AGA78:AGB78"/>
    <mergeCell ref="AFI78:AFJ78"/>
    <mergeCell ref="AFK78:AFL78"/>
    <mergeCell ref="AFM78:AFN78"/>
    <mergeCell ref="AFO78:AFP78"/>
    <mergeCell ref="AFQ78:AFR78"/>
    <mergeCell ref="AIA78:AIB78"/>
    <mergeCell ref="AIC78:AID78"/>
    <mergeCell ref="AIE78:AIF78"/>
    <mergeCell ref="AIG78:AIH78"/>
    <mergeCell ref="AII78:AIJ78"/>
    <mergeCell ref="AHQ78:AHR78"/>
    <mergeCell ref="AHS78:AHT78"/>
    <mergeCell ref="AHU78:AHV78"/>
    <mergeCell ref="AHW78:AHX78"/>
    <mergeCell ref="AHY78:AHZ78"/>
    <mergeCell ref="AHG78:AHH78"/>
    <mergeCell ref="AHI78:AHJ78"/>
    <mergeCell ref="AHK78:AHL78"/>
    <mergeCell ref="AHM78:AHN78"/>
    <mergeCell ref="AHO78:AHP78"/>
    <mergeCell ref="AGW78:AGX78"/>
    <mergeCell ref="AGY78:AGZ78"/>
    <mergeCell ref="AHA78:AHB78"/>
    <mergeCell ref="AHC78:AHD78"/>
    <mergeCell ref="AHE78:AHF78"/>
    <mergeCell ref="AJO78:AJP78"/>
    <mergeCell ref="AJQ78:AJR78"/>
    <mergeCell ref="AJS78:AJT78"/>
    <mergeCell ref="AJU78:AJV78"/>
    <mergeCell ref="AJW78:AJX78"/>
    <mergeCell ref="AJE78:AJF78"/>
    <mergeCell ref="AJG78:AJH78"/>
    <mergeCell ref="AJI78:AJJ78"/>
    <mergeCell ref="AJK78:AJL78"/>
    <mergeCell ref="AJM78:AJN78"/>
    <mergeCell ref="AIU78:AIV78"/>
    <mergeCell ref="AIW78:AIX78"/>
    <mergeCell ref="AIY78:AIZ78"/>
    <mergeCell ref="AJA78:AJB78"/>
    <mergeCell ref="AJC78:AJD78"/>
    <mergeCell ref="AIK78:AIL78"/>
    <mergeCell ref="AIM78:AIN78"/>
    <mergeCell ref="AIO78:AIP78"/>
    <mergeCell ref="AIQ78:AIR78"/>
    <mergeCell ref="AIS78:AIT78"/>
    <mergeCell ref="ALC78:ALD78"/>
    <mergeCell ref="ALE78:ALF78"/>
    <mergeCell ref="ALG78:ALH78"/>
    <mergeCell ref="ALI78:ALJ78"/>
    <mergeCell ref="ALK78:ALL78"/>
    <mergeCell ref="AKS78:AKT78"/>
    <mergeCell ref="AKU78:AKV78"/>
    <mergeCell ref="AKW78:AKX78"/>
    <mergeCell ref="AKY78:AKZ78"/>
    <mergeCell ref="ALA78:ALB78"/>
    <mergeCell ref="AKI78:AKJ78"/>
    <mergeCell ref="AKK78:AKL78"/>
    <mergeCell ref="AKM78:AKN78"/>
    <mergeCell ref="AKO78:AKP78"/>
    <mergeCell ref="AKQ78:AKR78"/>
    <mergeCell ref="AJY78:AJZ78"/>
    <mergeCell ref="AKA78:AKB78"/>
    <mergeCell ref="AKC78:AKD78"/>
    <mergeCell ref="AKE78:AKF78"/>
    <mergeCell ref="AKG78:AKH78"/>
    <mergeCell ref="AMQ78:AMR78"/>
    <mergeCell ref="AMS78:AMT78"/>
    <mergeCell ref="AMU78:AMV78"/>
    <mergeCell ref="AMW78:AMX78"/>
    <mergeCell ref="AMY78:AMZ78"/>
    <mergeCell ref="AMG78:AMH78"/>
    <mergeCell ref="AMI78:AMJ78"/>
    <mergeCell ref="AMK78:AML78"/>
    <mergeCell ref="AMM78:AMN78"/>
    <mergeCell ref="AMO78:AMP78"/>
    <mergeCell ref="ALW78:ALX78"/>
    <mergeCell ref="ALY78:ALZ78"/>
    <mergeCell ref="AMA78:AMB78"/>
    <mergeCell ref="AMC78:AMD78"/>
    <mergeCell ref="AME78:AMF78"/>
    <mergeCell ref="ALM78:ALN78"/>
    <mergeCell ref="ALO78:ALP78"/>
    <mergeCell ref="ALQ78:ALR78"/>
    <mergeCell ref="ALS78:ALT78"/>
    <mergeCell ref="ALU78:ALV78"/>
    <mergeCell ref="AOE78:AOF78"/>
    <mergeCell ref="AOG78:AOH78"/>
    <mergeCell ref="AOI78:AOJ78"/>
    <mergeCell ref="AOK78:AOL78"/>
    <mergeCell ref="AOM78:AON78"/>
    <mergeCell ref="ANU78:ANV78"/>
    <mergeCell ref="ANW78:ANX78"/>
    <mergeCell ref="ANY78:ANZ78"/>
    <mergeCell ref="AOA78:AOB78"/>
    <mergeCell ref="AOC78:AOD78"/>
    <mergeCell ref="ANK78:ANL78"/>
    <mergeCell ref="ANM78:ANN78"/>
    <mergeCell ref="ANO78:ANP78"/>
    <mergeCell ref="ANQ78:ANR78"/>
    <mergeCell ref="ANS78:ANT78"/>
    <mergeCell ref="ANA78:ANB78"/>
    <mergeCell ref="ANC78:AND78"/>
    <mergeCell ref="ANE78:ANF78"/>
    <mergeCell ref="ANG78:ANH78"/>
    <mergeCell ref="ANI78:ANJ78"/>
    <mergeCell ref="APS78:APT78"/>
    <mergeCell ref="APU78:APV78"/>
    <mergeCell ref="APW78:APX78"/>
    <mergeCell ref="APY78:APZ78"/>
    <mergeCell ref="AQA78:AQB78"/>
    <mergeCell ref="API78:APJ78"/>
    <mergeCell ref="APK78:APL78"/>
    <mergeCell ref="APM78:APN78"/>
    <mergeCell ref="APO78:APP78"/>
    <mergeCell ref="APQ78:APR78"/>
    <mergeCell ref="AOY78:AOZ78"/>
    <mergeCell ref="APA78:APB78"/>
    <mergeCell ref="APC78:APD78"/>
    <mergeCell ref="APE78:APF78"/>
    <mergeCell ref="APG78:APH78"/>
    <mergeCell ref="AOO78:AOP78"/>
    <mergeCell ref="AOQ78:AOR78"/>
    <mergeCell ref="AOS78:AOT78"/>
    <mergeCell ref="AOU78:AOV78"/>
    <mergeCell ref="AOW78:AOX78"/>
    <mergeCell ref="ARG78:ARH78"/>
    <mergeCell ref="ARI78:ARJ78"/>
    <mergeCell ref="ARK78:ARL78"/>
    <mergeCell ref="ARM78:ARN78"/>
    <mergeCell ref="ARO78:ARP78"/>
    <mergeCell ref="AQW78:AQX78"/>
    <mergeCell ref="AQY78:AQZ78"/>
    <mergeCell ref="ARA78:ARB78"/>
    <mergeCell ref="ARC78:ARD78"/>
    <mergeCell ref="ARE78:ARF78"/>
    <mergeCell ref="AQM78:AQN78"/>
    <mergeCell ref="AQO78:AQP78"/>
    <mergeCell ref="AQQ78:AQR78"/>
    <mergeCell ref="AQS78:AQT78"/>
    <mergeCell ref="AQU78:AQV78"/>
    <mergeCell ref="AQC78:AQD78"/>
    <mergeCell ref="AQE78:AQF78"/>
    <mergeCell ref="AQG78:AQH78"/>
    <mergeCell ref="AQI78:AQJ78"/>
    <mergeCell ref="AQK78:AQL78"/>
    <mergeCell ref="ASU78:ASV78"/>
    <mergeCell ref="ASW78:ASX78"/>
    <mergeCell ref="ASY78:ASZ78"/>
    <mergeCell ref="ATA78:ATB78"/>
    <mergeCell ref="ATC78:ATD78"/>
    <mergeCell ref="ASK78:ASL78"/>
    <mergeCell ref="ASM78:ASN78"/>
    <mergeCell ref="ASO78:ASP78"/>
    <mergeCell ref="ASQ78:ASR78"/>
    <mergeCell ref="ASS78:AST78"/>
    <mergeCell ref="ASA78:ASB78"/>
    <mergeCell ref="ASC78:ASD78"/>
    <mergeCell ref="ASE78:ASF78"/>
    <mergeCell ref="ASG78:ASH78"/>
    <mergeCell ref="ASI78:ASJ78"/>
    <mergeCell ref="ARQ78:ARR78"/>
    <mergeCell ref="ARS78:ART78"/>
    <mergeCell ref="ARU78:ARV78"/>
    <mergeCell ref="ARW78:ARX78"/>
    <mergeCell ref="ARY78:ARZ78"/>
    <mergeCell ref="AUI78:AUJ78"/>
    <mergeCell ref="AUK78:AUL78"/>
    <mergeCell ref="AUM78:AUN78"/>
    <mergeCell ref="AUO78:AUP78"/>
    <mergeCell ref="AUQ78:AUR78"/>
    <mergeCell ref="ATY78:ATZ78"/>
    <mergeCell ref="AUA78:AUB78"/>
    <mergeCell ref="AUC78:AUD78"/>
    <mergeCell ref="AUE78:AUF78"/>
    <mergeCell ref="AUG78:AUH78"/>
    <mergeCell ref="ATO78:ATP78"/>
    <mergeCell ref="ATQ78:ATR78"/>
    <mergeCell ref="ATS78:ATT78"/>
    <mergeCell ref="ATU78:ATV78"/>
    <mergeCell ref="ATW78:ATX78"/>
    <mergeCell ref="ATE78:ATF78"/>
    <mergeCell ref="ATG78:ATH78"/>
    <mergeCell ref="ATI78:ATJ78"/>
    <mergeCell ref="ATK78:ATL78"/>
    <mergeCell ref="ATM78:ATN78"/>
    <mergeCell ref="AVW78:AVX78"/>
    <mergeCell ref="AVY78:AVZ78"/>
    <mergeCell ref="AWA78:AWB78"/>
    <mergeCell ref="AWC78:AWD78"/>
    <mergeCell ref="AWE78:AWF78"/>
    <mergeCell ref="AVM78:AVN78"/>
    <mergeCell ref="AVO78:AVP78"/>
    <mergeCell ref="AVQ78:AVR78"/>
    <mergeCell ref="AVS78:AVT78"/>
    <mergeCell ref="AVU78:AVV78"/>
    <mergeCell ref="AVC78:AVD78"/>
    <mergeCell ref="AVE78:AVF78"/>
    <mergeCell ref="AVG78:AVH78"/>
    <mergeCell ref="AVI78:AVJ78"/>
    <mergeCell ref="AVK78:AVL78"/>
    <mergeCell ref="AUS78:AUT78"/>
    <mergeCell ref="AUU78:AUV78"/>
    <mergeCell ref="AUW78:AUX78"/>
    <mergeCell ref="AUY78:AUZ78"/>
    <mergeCell ref="AVA78:AVB78"/>
    <mergeCell ref="AXK78:AXL78"/>
    <mergeCell ref="AXM78:AXN78"/>
    <mergeCell ref="AXO78:AXP78"/>
    <mergeCell ref="AXQ78:AXR78"/>
    <mergeCell ref="AXS78:AXT78"/>
    <mergeCell ref="AXA78:AXB78"/>
    <mergeCell ref="AXC78:AXD78"/>
    <mergeCell ref="AXE78:AXF78"/>
    <mergeCell ref="AXG78:AXH78"/>
    <mergeCell ref="AXI78:AXJ78"/>
    <mergeCell ref="AWQ78:AWR78"/>
    <mergeCell ref="AWS78:AWT78"/>
    <mergeCell ref="AWU78:AWV78"/>
    <mergeCell ref="AWW78:AWX78"/>
    <mergeCell ref="AWY78:AWZ78"/>
    <mergeCell ref="AWG78:AWH78"/>
    <mergeCell ref="AWI78:AWJ78"/>
    <mergeCell ref="AWK78:AWL78"/>
    <mergeCell ref="AWM78:AWN78"/>
    <mergeCell ref="AWO78:AWP78"/>
    <mergeCell ref="AYY78:AYZ78"/>
    <mergeCell ref="AZA78:AZB78"/>
    <mergeCell ref="AZC78:AZD78"/>
    <mergeCell ref="AZE78:AZF78"/>
    <mergeCell ref="AZG78:AZH78"/>
    <mergeCell ref="AYO78:AYP78"/>
    <mergeCell ref="AYQ78:AYR78"/>
    <mergeCell ref="AYS78:AYT78"/>
    <mergeCell ref="AYU78:AYV78"/>
    <mergeCell ref="AYW78:AYX78"/>
    <mergeCell ref="AYE78:AYF78"/>
    <mergeCell ref="AYG78:AYH78"/>
    <mergeCell ref="AYI78:AYJ78"/>
    <mergeCell ref="AYK78:AYL78"/>
    <mergeCell ref="AYM78:AYN78"/>
    <mergeCell ref="AXU78:AXV78"/>
    <mergeCell ref="AXW78:AXX78"/>
    <mergeCell ref="AXY78:AXZ78"/>
    <mergeCell ref="AYA78:AYB78"/>
    <mergeCell ref="AYC78:AYD78"/>
    <mergeCell ref="BAM78:BAN78"/>
    <mergeCell ref="BAO78:BAP78"/>
    <mergeCell ref="BAQ78:BAR78"/>
    <mergeCell ref="BAS78:BAT78"/>
    <mergeCell ref="BAU78:BAV78"/>
    <mergeCell ref="BAC78:BAD78"/>
    <mergeCell ref="BAE78:BAF78"/>
    <mergeCell ref="BAG78:BAH78"/>
    <mergeCell ref="BAI78:BAJ78"/>
    <mergeCell ref="BAK78:BAL78"/>
    <mergeCell ref="AZS78:AZT78"/>
    <mergeCell ref="AZU78:AZV78"/>
    <mergeCell ref="AZW78:AZX78"/>
    <mergeCell ref="AZY78:AZZ78"/>
    <mergeCell ref="BAA78:BAB78"/>
    <mergeCell ref="AZI78:AZJ78"/>
    <mergeCell ref="AZK78:AZL78"/>
    <mergeCell ref="AZM78:AZN78"/>
    <mergeCell ref="AZO78:AZP78"/>
    <mergeCell ref="AZQ78:AZR78"/>
    <mergeCell ref="BCA78:BCB78"/>
    <mergeCell ref="BCC78:BCD78"/>
    <mergeCell ref="BCE78:BCF78"/>
    <mergeCell ref="BCG78:BCH78"/>
    <mergeCell ref="BCI78:BCJ78"/>
    <mergeCell ref="BBQ78:BBR78"/>
    <mergeCell ref="BBS78:BBT78"/>
    <mergeCell ref="BBU78:BBV78"/>
    <mergeCell ref="BBW78:BBX78"/>
    <mergeCell ref="BBY78:BBZ78"/>
    <mergeCell ref="BBG78:BBH78"/>
    <mergeCell ref="BBI78:BBJ78"/>
    <mergeCell ref="BBK78:BBL78"/>
    <mergeCell ref="BBM78:BBN78"/>
    <mergeCell ref="BBO78:BBP78"/>
    <mergeCell ref="BAW78:BAX78"/>
    <mergeCell ref="BAY78:BAZ78"/>
    <mergeCell ref="BBA78:BBB78"/>
    <mergeCell ref="BBC78:BBD78"/>
    <mergeCell ref="BBE78:BBF78"/>
    <mergeCell ref="BDO78:BDP78"/>
    <mergeCell ref="BDQ78:BDR78"/>
    <mergeCell ref="BDS78:BDT78"/>
    <mergeCell ref="BDU78:BDV78"/>
    <mergeCell ref="BDW78:BDX78"/>
    <mergeCell ref="BDE78:BDF78"/>
    <mergeCell ref="BDG78:BDH78"/>
    <mergeCell ref="BDI78:BDJ78"/>
    <mergeCell ref="BDK78:BDL78"/>
    <mergeCell ref="BDM78:BDN78"/>
    <mergeCell ref="BCU78:BCV78"/>
    <mergeCell ref="BCW78:BCX78"/>
    <mergeCell ref="BCY78:BCZ78"/>
    <mergeCell ref="BDA78:BDB78"/>
    <mergeCell ref="BDC78:BDD78"/>
    <mergeCell ref="BCK78:BCL78"/>
    <mergeCell ref="BCM78:BCN78"/>
    <mergeCell ref="BCO78:BCP78"/>
    <mergeCell ref="BCQ78:BCR78"/>
    <mergeCell ref="BCS78:BCT78"/>
    <mergeCell ref="BFC78:BFD78"/>
    <mergeCell ref="BFE78:BFF78"/>
    <mergeCell ref="BFG78:BFH78"/>
    <mergeCell ref="BFI78:BFJ78"/>
    <mergeCell ref="BFK78:BFL78"/>
    <mergeCell ref="BES78:BET78"/>
    <mergeCell ref="BEU78:BEV78"/>
    <mergeCell ref="BEW78:BEX78"/>
    <mergeCell ref="BEY78:BEZ78"/>
    <mergeCell ref="BFA78:BFB78"/>
    <mergeCell ref="BEI78:BEJ78"/>
    <mergeCell ref="BEK78:BEL78"/>
    <mergeCell ref="BEM78:BEN78"/>
    <mergeCell ref="BEO78:BEP78"/>
    <mergeCell ref="BEQ78:BER78"/>
    <mergeCell ref="BDY78:BDZ78"/>
    <mergeCell ref="BEA78:BEB78"/>
    <mergeCell ref="BEC78:BED78"/>
    <mergeCell ref="BEE78:BEF78"/>
    <mergeCell ref="BEG78:BEH78"/>
    <mergeCell ref="BGQ78:BGR78"/>
    <mergeCell ref="BGS78:BGT78"/>
    <mergeCell ref="BGU78:BGV78"/>
    <mergeCell ref="BGW78:BGX78"/>
    <mergeCell ref="BGY78:BGZ78"/>
    <mergeCell ref="BGG78:BGH78"/>
    <mergeCell ref="BGI78:BGJ78"/>
    <mergeCell ref="BGK78:BGL78"/>
    <mergeCell ref="BGM78:BGN78"/>
    <mergeCell ref="BGO78:BGP78"/>
    <mergeCell ref="BFW78:BFX78"/>
    <mergeCell ref="BFY78:BFZ78"/>
    <mergeCell ref="BGA78:BGB78"/>
    <mergeCell ref="BGC78:BGD78"/>
    <mergeCell ref="BGE78:BGF78"/>
    <mergeCell ref="BFM78:BFN78"/>
    <mergeCell ref="BFO78:BFP78"/>
    <mergeCell ref="BFQ78:BFR78"/>
    <mergeCell ref="BFS78:BFT78"/>
    <mergeCell ref="BFU78:BFV78"/>
    <mergeCell ref="BIE78:BIF78"/>
    <mergeCell ref="BIG78:BIH78"/>
    <mergeCell ref="BII78:BIJ78"/>
    <mergeCell ref="BIK78:BIL78"/>
    <mergeCell ref="BIM78:BIN78"/>
    <mergeCell ref="BHU78:BHV78"/>
    <mergeCell ref="BHW78:BHX78"/>
    <mergeCell ref="BHY78:BHZ78"/>
    <mergeCell ref="BIA78:BIB78"/>
    <mergeCell ref="BIC78:BID78"/>
    <mergeCell ref="BHK78:BHL78"/>
    <mergeCell ref="BHM78:BHN78"/>
    <mergeCell ref="BHO78:BHP78"/>
    <mergeCell ref="BHQ78:BHR78"/>
    <mergeCell ref="BHS78:BHT78"/>
    <mergeCell ref="BHA78:BHB78"/>
    <mergeCell ref="BHC78:BHD78"/>
    <mergeCell ref="BHE78:BHF78"/>
    <mergeCell ref="BHG78:BHH78"/>
    <mergeCell ref="BHI78:BHJ78"/>
    <mergeCell ref="BJS78:BJT78"/>
    <mergeCell ref="BJU78:BJV78"/>
    <mergeCell ref="BJW78:BJX78"/>
    <mergeCell ref="BJY78:BJZ78"/>
    <mergeCell ref="BKA78:BKB78"/>
    <mergeCell ref="BJI78:BJJ78"/>
    <mergeCell ref="BJK78:BJL78"/>
    <mergeCell ref="BJM78:BJN78"/>
    <mergeCell ref="BJO78:BJP78"/>
    <mergeCell ref="BJQ78:BJR78"/>
    <mergeCell ref="BIY78:BIZ78"/>
    <mergeCell ref="BJA78:BJB78"/>
    <mergeCell ref="BJC78:BJD78"/>
    <mergeCell ref="BJE78:BJF78"/>
    <mergeCell ref="BJG78:BJH78"/>
    <mergeCell ref="BIO78:BIP78"/>
    <mergeCell ref="BIQ78:BIR78"/>
    <mergeCell ref="BIS78:BIT78"/>
    <mergeCell ref="BIU78:BIV78"/>
    <mergeCell ref="BIW78:BIX78"/>
    <mergeCell ref="BLG78:BLH78"/>
    <mergeCell ref="BLI78:BLJ78"/>
    <mergeCell ref="BLK78:BLL78"/>
    <mergeCell ref="BLM78:BLN78"/>
    <mergeCell ref="BLO78:BLP78"/>
    <mergeCell ref="BKW78:BKX78"/>
    <mergeCell ref="BKY78:BKZ78"/>
    <mergeCell ref="BLA78:BLB78"/>
    <mergeCell ref="BLC78:BLD78"/>
    <mergeCell ref="BLE78:BLF78"/>
    <mergeCell ref="BKM78:BKN78"/>
    <mergeCell ref="BKO78:BKP78"/>
    <mergeCell ref="BKQ78:BKR78"/>
    <mergeCell ref="BKS78:BKT78"/>
    <mergeCell ref="BKU78:BKV78"/>
    <mergeCell ref="BKC78:BKD78"/>
    <mergeCell ref="BKE78:BKF78"/>
    <mergeCell ref="BKG78:BKH78"/>
    <mergeCell ref="BKI78:BKJ78"/>
    <mergeCell ref="BKK78:BKL78"/>
    <mergeCell ref="BMU78:BMV78"/>
    <mergeCell ref="BMW78:BMX78"/>
    <mergeCell ref="BMY78:BMZ78"/>
    <mergeCell ref="BNA78:BNB78"/>
    <mergeCell ref="BNC78:BND78"/>
    <mergeCell ref="BMK78:BML78"/>
    <mergeCell ref="BMM78:BMN78"/>
    <mergeCell ref="BMO78:BMP78"/>
    <mergeCell ref="BMQ78:BMR78"/>
    <mergeCell ref="BMS78:BMT78"/>
    <mergeCell ref="BMA78:BMB78"/>
    <mergeCell ref="BMC78:BMD78"/>
    <mergeCell ref="BME78:BMF78"/>
    <mergeCell ref="BMG78:BMH78"/>
    <mergeCell ref="BMI78:BMJ78"/>
    <mergeCell ref="BLQ78:BLR78"/>
    <mergeCell ref="BLS78:BLT78"/>
    <mergeCell ref="BLU78:BLV78"/>
    <mergeCell ref="BLW78:BLX78"/>
    <mergeCell ref="BLY78:BLZ78"/>
    <mergeCell ref="BOI78:BOJ78"/>
    <mergeCell ref="BOK78:BOL78"/>
    <mergeCell ref="BOM78:BON78"/>
    <mergeCell ref="BOO78:BOP78"/>
    <mergeCell ref="BOQ78:BOR78"/>
    <mergeCell ref="BNY78:BNZ78"/>
    <mergeCell ref="BOA78:BOB78"/>
    <mergeCell ref="BOC78:BOD78"/>
    <mergeCell ref="BOE78:BOF78"/>
    <mergeCell ref="BOG78:BOH78"/>
    <mergeCell ref="BNO78:BNP78"/>
    <mergeCell ref="BNQ78:BNR78"/>
    <mergeCell ref="BNS78:BNT78"/>
    <mergeCell ref="BNU78:BNV78"/>
    <mergeCell ref="BNW78:BNX78"/>
    <mergeCell ref="BNE78:BNF78"/>
    <mergeCell ref="BNG78:BNH78"/>
    <mergeCell ref="BNI78:BNJ78"/>
    <mergeCell ref="BNK78:BNL78"/>
    <mergeCell ref="BNM78:BNN78"/>
    <mergeCell ref="BPW78:BPX78"/>
    <mergeCell ref="BPY78:BPZ78"/>
    <mergeCell ref="BQA78:BQB78"/>
    <mergeCell ref="BQC78:BQD78"/>
    <mergeCell ref="BQE78:BQF78"/>
    <mergeCell ref="BPM78:BPN78"/>
    <mergeCell ref="BPO78:BPP78"/>
    <mergeCell ref="BPQ78:BPR78"/>
    <mergeCell ref="BPS78:BPT78"/>
    <mergeCell ref="BPU78:BPV78"/>
    <mergeCell ref="BPC78:BPD78"/>
    <mergeCell ref="BPE78:BPF78"/>
    <mergeCell ref="BPG78:BPH78"/>
    <mergeCell ref="BPI78:BPJ78"/>
    <mergeCell ref="BPK78:BPL78"/>
    <mergeCell ref="BOS78:BOT78"/>
    <mergeCell ref="BOU78:BOV78"/>
    <mergeCell ref="BOW78:BOX78"/>
    <mergeCell ref="BOY78:BOZ78"/>
    <mergeCell ref="BPA78:BPB78"/>
    <mergeCell ref="BRK78:BRL78"/>
    <mergeCell ref="BRM78:BRN78"/>
    <mergeCell ref="BRO78:BRP78"/>
    <mergeCell ref="BRQ78:BRR78"/>
    <mergeCell ref="BRS78:BRT78"/>
    <mergeCell ref="BRA78:BRB78"/>
    <mergeCell ref="BRC78:BRD78"/>
    <mergeCell ref="BRE78:BRF78"/>
    <mergeCell ref="BRG78:BRH78"/>
    <mergeCell ref="BRI78:BRJ78"/>
    <mergeCell ref="BQQ78:BQR78"/>
    <mergeCell ref="BQS78:BQT78"/>
    <mergeCell ref="BQU78:BQV78"/>
    <mergeCell ref="BQW78:BQX78"/>
    <mergeCell ref="BQY78:BQZ78"/>
    <mergeCell ref="BQG78:BQH78"/>
    <mergeCell ref="BQI78:BQJ78"/>
    <mergeCell ref="BQK78:BQL78"/>
    <mergeCell ref="BQM78:BQN78"/>
    <mergeCell ref="BQO78:BQP78"/>
    <mergeCell ref="BSY78:BSZ78"/>
    <mergeCell ref="BTA78:BTB78"/>
    <mergeCell ref="BTC78:BTD78"/>
    <mergeCell ref="BTE78:BTF78"/>
    <mergeCell ref="BTG78:BTH78"/>
    <mergeCell ref="BSO78:BSP78"/>
    <mergeCell ref="BSQ78:BSR78"/>
    <mergeCell ref="BSS78:BST78"/>
    <mergeCell ref="BSU78:BSV78"/>
    <mergeCell ref="BSW78:BSX78"/>
    <mergeCell ref="BSE78:BSF78"/>
    <mergeCell ref="BSG78:BSH78"/>
    <mergeCell ref="BSI78:BSJ78"/>
    <mergeCell ref="BSK78:BSL78"/>
    <mergeCell ref="BSM78:BSN78"/>
    <mergeCell ref="BRU78:BRV78"/>
    <mergeCell ref="BRW78:BRX78"/>
    <mergeCell ref="BRY78:BRZ78"/>
    <mergeCell ref="BSA78:BSB78"/>
    <mergeCell ref="BSC78:BSD78"/>
    <mergeCell ref="BUM78:BUN78"/>
    <mergeCell ref="BUO78:BUP78"/>
    <mergeCell ref="BUQ78:BUR78"/>
    <mergeCell ref="BUS78:BUT78"/>
    <mergeCell ref="BUU78:BUV78"/>
    <mergeCell ref="BUC78:BUD78"/>
    <mergeCell ref="BUE78:BUF78"/>
    <mergeCell ref="BUG78:BUH78"/>
    <mergeCell ref="BUI78:BUJ78"/>
    <mergeCell ref="BUK78:BUL78"/>
    <mergeCell ref="BTS78:BTT78"/>
    <mergeCell ref="BTU78:BTV78"/>
    <mergeCell ref="BTW78:BTX78"/>
    <mergeCell ref="BTY78:BTZ78"/>
    <mergeCell ref="BUA78:BUB78"/>
    <mergeCell ref="BTI78:BTJ78"/>
    <mergeCell ref="BTK78:BTL78"/>
    <mergeCell ref="BTM78:BTN78"/>
    <mergeCell ref="BTO78:BTP78"/>
    <mergeCell ref="BTQ78:BTR78"/>
    <mergeCell ref="BWA78:BWB78"/>
    <mergeCell ref="BWC78:BWD78"/>
    <mergeCell ref="BWE78:BWF78"/>
    <mergeCell ref="BWG78:BWH78"/>
    <mergeCell ref="BWI78:BWJ78"/>
    <mergeCell ref="BVQ78:BVR78"/>
    <mergeCell ref="BVS78:BVT78"/>
    <mergeCell ref="BVU78:BVV78"/>
    <mergeCell ref="BVW78:BVX78"/>
    <mergeCell ref="BVY78:BVZ78"/>
    <mergeCell ref="BVG78:BVH78"/>
    <mergeCell ref="BVI78:BVJ78"/>
    <mergeCell ref="BVK78:BVL78"/>
    <mergeCell ref="BVM78:BVN78"/>
    <mergeCell ref="BVO78:BVP78"/>
    <mergeCell ref="BUW78:BUX78"/>
    <mergeCell ref="BUY78:BUZ78"/>
    <mergeCell ref="BVA78:BVB78"/>
    <mergeCell ref="BVC78:BVD78"/>
    <mergeCell ref="BVE78:BVF78"/>
    <mergeCell ref="BXO78:BXP78"/>
    <mergeCell ref="BXQ78:BXR78"/>
    <mergeCell ref="BXS78:BXT78"/>
    <mergeCell ref="BXU78:BXV78"/>
    <mergeCell ref="BXW78:BXX78"/>
    <mergeCell ref="BXE78:BXF78"/>
    <mergeCell ref="BXG78:BXH78"/>
    <mergeCell ref="BXI78:BXJ78"/>
    <mergeCell ref="BXK78:BXL78"/>
    <mergeCell ref="BXM78:BXN78"/>
    <mergeCell ref="BWU78:BWV78"/>
    <mergeCell ref="BWW78:BWX78"/>
    <mergeCell ref="BWY78:BWZ78"/>
    <mergeCell ref="BXA78:BXB78"/>
    <mergeCell ref="BXC78:BXD78"/>
    <mergeCell ref="BWK78:BWL78"/>
    <mergeCell ref="BWM78:BWN78"/>
    <mergeCell ref="BWO78:BWP78"/>
    <mergeCell ref="BWQ78:BWR78"/>
    <mergeCell ref="BWS78:BWT78"/>
    <mergeCell ref="BZC78:BZD78"/>
    <mergeCell ref="BZE78:BZF78"/>
    <mergeCell ref="BZG78:BZH78"/>
    <mergeCell ref="BZI78:BZJ78"/>
    <mergeCell ref="BZK78:BZL78"/>
    <mergeCell ref="BYS78:BYT78"/>
    <mergeCell ref="BYU78:BYV78"/>
    <mergeCell ref="BYW78:BYX78"/>
    <mergeCell ref="BYY78:BYZ78"/>
    <mergeCell ref="BZA78:BZB78"/>
    <mergeCell ref="BYI78:BYJ78"/>
    <mergeCell ref="BYK78:BYL78"/>
    <mergeCell ref="BYM78:BYN78"/>
    <mergeCell ref="BYO78:BYP78"/>
    <mergeCell ref="BYQ78:BYR78"/>
    <mergeCell ref="BXY78:BXZ78"/>
    <mergeCell ref="BYA78:BYB78"/>
    <mergeCell ref="BYC78:BYD78"/>
    <mergeCell ref="BYE78:BYF78"/>
    <mergeCell ref="BYG78:BYH78"/>
    <mergeCell ref="CAQ78:CAR78"/>
    <mergeCell ref="CAS78:CAT78"/>
    <mergeCell ref="CAU78:CAV78"/>
    <mergeCell ref="CAW78:CAX78"/>
    <mergeCell ref="CAY78:CAZ78"/>
    <mergeCell ref="CAG78:CAH78"/>
    <mergeCell ref="CAI78:CAJ78"/>
    <mergeCell ref="CAK78:CAL78"/>
    <mergeCell ref="CAM78:CAN78"/>
    <mergeCell ref="CAO78:CAP78"/>
    <mergeCell ref="BZW78:BZX78"/>
    <mergeCell ref="BZY78:BZZ78"/>
    <mergeCell ref="CAA78:CAB78"/>
    <mergeCell ref="CAC78:CAD78"/>
    <mergeCell ref="CAE78:CAF78"/>
    <mergeCell ref="BZM78:BZN78"/>
    <mergeCell ref="BZO78:BZP78"/>
    <mergeCell ref="BZQ78:BZR78"/>
    <mergeCell ref="BZS78:BZT78"/>
    <mergeCell ref="BZU78:BZV78"/>
    <mergeCell ref="CCE78:CCF78"/>
    <mergeCell ref="CCG78:CCH78"/>
    <mergeCell ref="CCI78:CCJ78"/>
    <mergeCell ref="CCK78:CCL78"/>
    <mergeCell ref="CCM78:CCN78"/>
    <mergeCell ref="CBU78:CBV78"/>
    <mergeCell ref="CBW78:CBX78"/>
    <mergeCell ref="CBY78:CBZ78"/>
    <mergeCell ref="CCA78:CCB78"/>
    <mergeCell ref="CCC78:CCD78"/>
    <mergeCell ref="CBK78:CBL78"/>
    <mergeCell ref="CBM78:CBN78"/>
    <mergeCell ref="CBO78:CBP78"/>
    <mergeCell ref="CBQ78:CBR78"/>
    <mergeCell ref="CBS78:CBT78"/>
    <mergeCell ref="CBA78:CBB78"/>
    <mergeCell ref="CBC78:CBD78"/>
    <mergeCell ref="CBE78:CBF78"/>
    <mergeCell ref="CBG78:CBH78"/>
    <mergeCell ref="CBI78:CBJ78"/>
    <mergeCell ref="CDS78:CDT78"/>
    <mergeCell ref="CDU78:CDV78"/>
    <mergeCell ref="CDW78:CDX78"/>
    <mergeCell ref="CDY78:CDZ78"/>
    <mergeCell ref="CEA78:CEB78"/>
    <mergeCell ref="CDI78:CDJ78"/>
    <mergeCell ref="CDK78:CDL78"/>
    <mergeCell ref="CDM78:CDN78"/>
    <mergeCell ref="CDO78:CDP78"/>
    <mergeCell ref="CDQ78:CDR78"/>
    <mergeCell ref="CCY78:CCZ78"/>
    <mergeCell ref="CDA78:CDB78"/>
    <mergeCell ref="CDC78:CDD78"/>
    <mergeCell ref="CDE78:CDF78"/>
    <mergeCell ref="CDG78:CDH78"/>
    <mergeCell ref="CCO78:CCP78"/>
    <mergeCell ref="CCQ78:CCR78"/>
    <mergeCell ref="CCS78:CCT78"/>
    <mergeCell ref="CCU78:CCV78"/>
    <mergeCell ref="CCW78:CCX78"/>
    <mergeCell ref="CFG78:CFH78"/>
    <mergeCell ref="CFI78:CFJ78"/>
    <mergeCell ref="CFK78:CFL78"/>
    <mergeCell ref="CFM78:CFN78"/>
    <mergeCell ref="CFO78:CFP78"/>
    <mergeCell ref="CEW78:CEX78"/>
    <mergeCell ref="CEY78:CEZ78"/>
    <mergeCell ref="CFA78:CFB78"/>
    <mergeCell ref="CFC78:CFD78"/>
    <mergeCell ref="CFE78:CFF78"/>
    <mergeCell ref="CEM78:CEN78"/>
    <mergeCell ref="CEO78:CEP78"/>
    <mergeCell ref="CEQ78:CER78"/>
    <mergeCell ref="CES78:CET78"/>
    <mergeCell ref="CEU78:CEV78"/>
    <mergeCell ref="CEC78:CED78"/>
    <mergeCell ref="CEE78:CEF78"/>
    <mergeCell ref="CEG78:CEH78"/>
    <mergeCell ref="CEI78:CEJ78"/>
    <mergeCell ref="CEK78:CEL78"/>
    <mergeCell ref="CGU78:CGV78"/>
    <mergeCell ref="CGW78:CGX78"/>
    <mergeCell ref="CGY78:CGZ78"/>
    <mergeCell ref="CHA78:CHB78"/>
    <mergeCell ref="CHC78:CHD78"/>
    <mergeCell ref="CGK78:CGL78"/>
    <mergeCell ref="CGM78:CGN78"/>
    <mergeCell ref="CGO78:CGP78"/>
    <mergeCell ref="CGQ78:CGR78"/>
    <mergeCell ref="CGS78:CGT78"/>
    <mergeCell ref="CGA78:CGB78"/>
    <mergeCell ref="CGC78:CGD78"/>
    <mergeCell ref="CGE78:CGF78"/>
    <mergeCell ref="CGG78:CGH78"/>
    <mergeCell ref="CGI78:CGJ78"/>
    <mergeCell ref="CFQ78:CFR78"/>
    <mergeCell ref="CFS78:CFT78"/>
    <mergeCell ref="CFU78:CFV78"/>
    <mergeCell ref="CFW78:CFX78"/>
    <mergeCell ref="CFY78:CFZ78"/>
    <mergeCell ref="CII78:CIJ78"/>
    <mergeCell ref="CIK78:CIL78"/>
    <mergeCell ref="CIM78:CIN78"/>
    <mergeCell ref="CIO78:CIP78"/>
    <mergeCell ref="CIQ78:CIR78"/>
    <mergeCell ref="CHY78:CHZ78"/>
    <mergeCell ref="CIA78:CIB78"/>
    <mergeCell ref="CIC78:CID78"/>
    <mergeCell ref="CIE78:CIF78"/>
    <mergeCell ref="CIG78:CIH78"/>
    <mergeCell ref="CHO78:CHP78"/>
    <mergeCell ref="CHQ78:CHR78"/>
    <mergeCell ref="CHS78:CHT78"/>
    <mergeCell ref="CHU78:CHV78"/>
    <mergeCell ref="CHW78:CHX78"/>
    <mergeCell ref="CHE78:CHF78"/>
    <mergeCell ref="CHG78:CHH78"/>
    <mergeCell ref="CHI78:CHJ78"/>
    <mergeCell ref="CHK78:CHL78"/>
    <mergeCell ref="CHM78:CHN78"/>
    <mergeCell ref="CJW78:CJX78"/>
    <mergeCell ref="CJY78:CJZ78"/>
    <mergeCell ref="CKA78:CKB78"/>
    <mergeCell ref="CKC78:CKD78"/>
    <mergeCell ref="CKE78:CKF78"/>
    <mergeCell ref="CJM78:CJN78"/>
    <mergeCell ref="CJO78:CJP78"/>
    <mergeCell ref="CJQ78:CJR78"/>
    <mergeCell ref="CJS78:CJT78"/>
    <mergeCell ref="CJU78:CJV78"/>
    <mergeCell ref="CJC78:CJD78"/>
    <mergeCell ref="CJE78:CJF78"/>
    <mergeCell ref="CJG78:CJH78"/>
    <mergeCell ref="CJI78:CJJ78"/>
    <mergeCell ref="CJK78:CJL78"/>
    <mergeCell ref="CIS78:CIT78"/>
    <mergeCell ref="CIU78:CIV78"/>
    <mergeCell ref="CIW78:CIX78"/>
    <mergeCell ref="CIY78:CIZ78"/>
    <mergeCell ref="CJA78:CJB78"/>
    <mergeCell ref="CLK78:CLL78"/>
    <mergeCell ref="CLM78:CLN78"/>
    <mergeCell ref="CLO78:CLP78"/>
    <mergeCell ref="CLQ78:CLR78"/>
    <mergeCell ref="CLS78:CLT78"/>
    <mergeCell ref="CLA78:CLB78"/>
    <mergeCell ref="CLC78:CLD78"/>
    <mergeCell ref="CLE78:CLF78"/>
    <mergeCell ref="CLG78:CLH78"/>
    <mergeCell ref="CLI78:CLJ78"/>
    <mergeCell ref="CKQ78:CKR78"/>
    <mergeCell ref="CKS78:CKT78"/>
    <mergeCell ref="CKU78:CKV78"/>
    <mergeCell ref="CKW78:CKX78"/>
    <mergeCell ref="CKY78:CKZ78"/>
    <mergeCell ref="CKG78:CKH78"/>
    <mergeCell ref="CKI78:CKJ78"/>
    <mergeCell ref="CKK78:CKL78"/>
    <mergeCell ref="CKM78:CKN78"/>
    <mergeCell ref="CKO78:CKP78"/>
    <mergeCell ref="CMY78:CMZ78"/>
    <mergeCell ref="CNA78:CNB78"/>
    <mergeCell ref="CNC78:CND78"/>
    <mergeCell ref="CNE78:CNF78"/>
    <mergeCell ref="CNG78:CNH78"/>
    <mergeCell ref="CMO78:CMP78"/>
    <mergeCell ref="CMQ78:CMR78"/>
    <mergeCell ref="CMS78:CMT78"/>
    <mergeCell ref="CMU78:CMV78"/>
    <mergeCell ref="CMW78:CMX78"/>
    <mergeCell ref="CME78:CMF78"/>
    <mergeCell ref="CMG78:CMH78"/>
    <mergeCell ref="CMI78:CMJ78"/>
    <mergeCell ref="CMK78:CML78"/>
    <mergeCell ref="CMM78:CMN78"/>
    <mergeCell ref="CLU78:CLV78"/>
    <mergeCell ref="CLW78:CLX78"/>
    <mergeCell ref="CLY78:CLZ78"/>
    <mergeCell ref="CMA78:CMB78"/>
    <mergeCell ref="CMC78:CMD78"/>
    <mergeCell ref="COM78:CON78"/>
    <mergeCell ref="COO78:COP78"/>
    <mergeCell ref="COQ78:COR78"/>
    <mergeCell ref="COS78:COT78"/>
    <mergeCell ref="COU78:COV78"/>
    <mergeCell ref="COC78:COD78"/>
    <mergeCell ref="COE78:COF78"/>
    <mergeCell ref="COG78:COH78"/>
    <mergeCell ref="COI78:COJ78"/>
    <mergeCell ref="COK78:COL78"/>
    <mergeCell ref="CNS78:CNT78"/>
    <mergeCell ref="CNU78:CNV78"/>
    <mergeCell ref="CNW78:CNX78"/>
    <mergeCell ref="CNY78:CNZ78"/>
    <mergeCell ref="COA78:COB78"/>
    <mergeCell ref="CNI78:CNJ78"/>
    <mergeCell ref="CNK78:CNL78"/>
    <mergeCell ref="CNM78:CNN78"/>
    <mergeCell ref="CNO78:CNP78"/>
    <mergeCell ref="CNQ78:CNR78"/>
    <mergeCell ref="CQA78:CQB78"/>
    <mergeCell ref="CQC78:CQD78"/>
    <mergeCell ref="CQE78:CQF78"/>
    <mergeCell ref="CQG78:CQH78"/>
    <mergeCell ref="CQI78:CQJ78"/>
    <mergeCell ref="CPQ78:CPR78"/>
    <mergeCell ref="CPS78:CPT78"/>
    <mergeCell ref="CPU78:CPV78"/>
    <mergeCell ref="CPW78:CPX78"/>
    <mergeCell ref="CPY78:CPZ78"/>
    <mergeCell ref="CPG78:CPH78"/>
    <mergeCell ref="CPI78:CPJ78"/>
    <mergeCell ref="CPK78:CPL78"/>
    <mergeCell ref="CPM78:CPN78"/>
    <mergeCell ref="CPO78:CPP78"/>
    <mergeCell ref="COW78:COX78"/>
    <mergeCell ref="COY78:COZ78"/>
    <mergeCell ref="CPA78:CPB78"/>
    <mergeCell ref="CPC78:CPD78"/>
    <mergeCell ref="CPE78:CPF78"/>
    <mergeCell ref="CRO78:CRP78"/>
    <mergeCell ref="CRQ78:CRR78"/>
    <mergeCell ref="CRS78:CRT78"/>
    <mergeCell ref="CRU78:CRV78"/>
    <mergeCell ref="CRW78:CRX78"/>
    <mergeCell ref="CRE78:CRF78"/>
    <mergeCell ref="CRG78:CRH78"/>
    <mergeCell ref="CRI78:CRJ78"/>
    <mergeCell ref="CRK78:CRL78"/>
    <mergeCell ref="CRM78:CRN78"/>
    <mergeCell ref="CQU78:CQV78"/>
    <mergeCell ref="CQW78:CQX78"/>
    <mergeCell ref="CQY78:CQZ78"/>
    <mergeCell ref="CRA78:CRB78"/>
    <mergeCell ref="CRC78:CRD78"/>
    <mergeCell ref="CQK78:CQL78"/>
    <mergeCell ref="CQM78:CQN78"/>
    <mergeCell ref="CQO78:CQP78"/>
    <mergeCell ref="CQQ78:CQR78"/>
    <mergeCell ref="CQS78:CQT78"/>
    <mergeCell ref="CTC78:CTD78"/>
    <mergeCell ref="CTE78:CTF78"/>
    <mergeCell ref="CTG78:CTH78"/>
    <mergeCell ref="CTI78:CTJ78"/>
    <mergeCell ref="CTK78:CTL78"/>
    <mergeCell ref="CSS78:CST78"/>
    <mergeCell ref="CSU78:CSV78"/>
    <mergeCell ref="CSW78:CSX78"/>
    <mergeCell ref="CSY78:CSZ78"/>
    <mergeCell ref="CTA78:CTB78"/>
    <mergeCell ref="CSI78:CSJ78"/>
    <mergeCell ref="CSK78:CSL78"/>
    <mergeCell ref="CSM78:CSN78"/>
    <mergeCell ref="CSO78:CSP78"/>
    <mergeCell ref="CSQ78:CSR78"/>
    <mergeCell ref="CRY78:CRZ78"/>
    <mergeCell ref="CSA78:CSB78"/>
    <mergeCell ref="CSC78:CSD78"/>
    <mergeCell ref="CSE78:CSF78"/>
    <mergeCell ref="CSG78:CSH78"/>
    <mergeCell ref="CUQ78:CUR78"/>
    <mergeCell ref="CUS78:CUT78"/>
    <mergeCell ref="CUU78:CUV78"/>
    <mergeCell ref="CUW78:CUX78"/>
    <mergeCell ref="CUY78:CUZ78"/>
    <mergeCell ref="CUG78:CUH78"/>
    <mergeCell ref="CUI78:CUJ78"/>
    <mergeCell ref="CUK78:CUL78"/>
    <mergeCell ref="CUM78:CUN78"/>
    <mergeCell ref="CUO78:CUP78"/>
    <mergeCell ref="CTW78:CTX78"/>
    <mergeCell ref="CTY78:CTZ78"/>
    <mergeCell ref="CUA78:CUB78"/>
    <mergeCell ref="CUC78:CUD78"/>
    <mergeCell ref="CUE78:CUF78"/>
    <mergeCell ref="CTM78:CTN78"/>
    <mergeCell ref="CTO78:CTP78"/>
    <mergeCell ref="CTQ78:CTR78"/>
    <mergeCell ref="CTS78:CTT78"/>
    <mergeCell ref="CTU78:CTV78"/>
    <mergeCell ref="CWE78:CWF78"/>
    <mergeCell ref="CWG78:CWH78"/>
    <mergeCell ref="CWI78:CWJ78"/>
    <mergeCell ref="CWK78:CWL78"/>
    <mergeCell ref="CWM78:CWN78"/>
    <mergeCell ref="CVU78:CVV78"/>
    <mergeCell ref="CVW78:CVX78"/>
    <mergeCell ref="CVY78:CVZ78"/>
    <mergeCell ref="CWA78:CWB78"/>
    <mergeCell ref="CWC78:CWD78"/>
    <mergeCell ref="CVK78:CVL78"/>
    <mergeCell ref="CVM78:CVN78"/>
    <mergeCell ref="CVO78:CVP78"/>
    <mergeCell ref="CVQ78:CVR78"/>
    <mergeCell ref="CVS78:CVT78"/>
    <mergeCell ref="CVA78:CVB78"/>
    <mergeCell ref="CVC78:CVD78"/>
    <mergeCell ref="CVE78:CVF78"/>
    <mergeCell ref="CVG78:CVH78"/>
    <mergeCell ref="CVI78:CVJ78"/>
    <mergeCell ref="CXS78:CXT78"/>
    <mergeCell ref="CXU78:CXV78"/>
    <mergeCell ref="CXW78:CXX78"/>
    <mergeCell ref="CXY78:CXZ78"/>
    <mergeCell ref="CYA78:CYB78"/>
    <mergeCell ref="CXI78:CXJ78"/>
    <mergeCell ref="CXK78:CXL78"/>
    <mergeCell ref="CXM78:CXN78"/>
    <mergeCell ref="CXO78:CXP78"/>
    <mergeCell ref="CXQ78:CXR78"/>
    <mergeCell ref="CWY78:CWZ78"/>
    <mergeCell ref="CXA78:CXB78"/>
    <mergeCell ref="CXC78:CXD78"/>
    <mergeCell ref="CXE78:CXF78"/>
    <mergeCell ref="CXG78:CXH78"/>
    <mergeCell ref="CWO78:CWP78"/>
    <mergeCell ref="CWQ78:CWR78"/>
    <mergeCell ref="CWS78:CWT78"/>
    <mergeCell ref="CWU78:CWV78"/>
    <mergeCell ref="CWW78:CWX78"/>
    <mergeCell ref="CZG78:CZH78"/>
    <mergeCell ref="CZI78:CZJ78"/>
    <mergeCell ref="CZK78:CZL78"/>
    <mergeCell ref="CZM78:CZN78"/>
    <mergeCell ref="CZO78:CZP78"/>
    <mergeCell ref="CYW78:CYX78"/>
    <mergeCell ref="CYY78:CYZ78"/>
    <mergeCell ref="CZA78:CZB78"/>
    <mergeCell ref="CZC78:CZD78"/>
    <mergeCell ref="CZE78:CZF78"/>
    <mergeCell ref="CYM78:CYN78"/>
    <mergeCell ref="CYO78:CYP78"/>
    <mergeCell ref="CYQ78:CYR78"/>
    <mergeCell ref="CYS78:CYT78"/>
    <mergeCell ref="CYU78:CYV78"/>
    <mergeCell ref="CYC78:CYD78"/>
    <mergeCell ref="CYE78:CYF78"/>
    <mergeCell ref="CYG78:CYH78"/>
    <mergeCell ref="CYI78:CYJ78"/>
    <mergeCell ref="CYK78:CYL78"/>
    <mergeCell ref="DAU78:DAV78"/>
    <mergeCell ref="DAW78:DAX78"/>
    <mergeCell ref="DAY78:DAZ78"/>
    <mergeCell ref="DBA78:DBB78"/>
    <mergeCell ref="DBC78:DBD78"/>
    <mergeCell ref="DAK78:DAL78"/>
    <mergeCell ref="DAM78:DAN78"/>
    <mergeCell ref="DAO78:DAP78"/>
    <mergeCell ref="DAQ78:DAR78"/>
    <mergeCell ref="DAS78:DAT78"/>
    <mergeCell ref="DAA78:DAB78"/>
    <mergeCell ref="DAC78:DAD78"/>
    <mergeCell ref="DAE78:DAF78"/>
    <mergeCell ref="DAG78:DAH78"/>
    <mergeCell ref="DAI78:DAJ78"/>
    <mergeCell ref="CZQ78:CZR78"/>
    <mergeCell ref="CZS78:CZT78"/>
    <mergeCell ref="CZU78:CZV78"/>
    <mergeCell ref="CZW78:CZX78"/>
    <mergeCell ref="CZY78:CZZ78"/>
    <mergeCell ref="DCI78:DCJ78"/>
    <mergeCell ref="DCK78:DCL78"/>
    <mergeCell ref="DCM78:DCN78"/>
    <mergeCell ref="DCO78:DCP78"/>
    <mergeCell ref="DCQ78:DCR78"/>
    <mergeCell ref="DBY78:DBZ78"/>
    <mergeCell ref="DCA78:DCB78"/>
    <mergeCell ref="DCC78:DCD78"/>
    <mergeCell ref="DCE78:DCF78"/>
    <mergeCell ref="DCG78:DCH78"/>
    <mergeCell ref="DBO78:DBP78"/>
    <mergeCell ref="DBQ78:DBR78"/>
    <mergeCell ref="DBS78:DBT78"/>
    <mergeCell ref="DBU78:DBV78"/>
    <mergeCell ref="DBW78:DBX78"/>
    <mergeCell ref="DBE78:DBF78"/>
    <mergeCell ref="DBG78:DBH78"/>
    <mergeCell ref="DBI78:DBJ78"/>
    <mergeCell ref="DBK78:DBL78"/>
    <mergeCell ref="DBM78:DBN78"/>
    <mergeCell ref="DDW78:DDX78"/>
    <mergeCell ref="DDY78:DDZ78"/>
    <mergeCell ref="DEA78:DEB78"/>
    <mergeCell ref="DEC78:DED78"/>
    <mergeCell ref="DEE78:DEF78"/>
    <mergeCell ref="DDM78:DDN78"/>
    <mergeCell ref="DDO78:DDP78"/>
    <mergeCell ref="DDQ78:DDR78"/>
    <mergeCell ref="DDS78:DDT78"/>
    <mergeCell ref="DDU78:DDV78"/>
    <mergeCell ref="DDC78:DDD78"/>
    <mergeCell ref="DDE78:DDF78"/>
    <mergeCell ref="DDG78:DDH78"/>
    <mergeCell ref="DDI78:DDJ78"/>
    <mergeCell ref="DDK78:DDL78"/>
    <mergeCell ref="DCS78:DCT78"/>
    <mergeCell ref="DCU78:DCV78"/>
    <mergeCell ref="DCW78:DCX78"/>
    <mergeCell ref="DCY78:DCZ78"/>
    <mergeCell ref="DDA78:DDB78"/>
    <mergeCell ref="DFK78:DFL78"/>
    <mergeCell ref="DFM78:DFN78"/>
    <mergeCell ref="DFO78:DFP78"/>
    <mergeCell ref="DFQ78:DFR78"/>
    <mergeCell ref="DFS78:DFT78"/>
    <mergeCell ref="DFA78:DFB78"/>
    <mergeCell ref="DFC78:DFD78"/>
    <mergeCell ref="DFE78:DFF78"/>
    <mergeCell ref="DFG78:DFH78"/>
    <mergeCell ref="DFI78:DFJ78"/>
    <mergeCell ref="DEQ78:DER78"/>
    <mergeCell ref="DES78:DET78"/>
    <mergeCell ref="DEU78:DEV78"/>
    <mergeCell ref="DEW78:DEX78"/>
    <mergeCell ref="DEY78:DEZ78"/>
    <mergeCell ref="DEG78:DEH78"/>
    <mergeCell ref="DEI78:DEJ78"/>
    <mergeCell ref="DEK78:DEL78"/>
    <mergeCell ref="DEM78:DEN78"/>
    <mergeCell ref="DEO78:DEP78"/>
    <mergeCell ref="DGY78:DGZ78"/>
    <mergeCell ref="DHA78:DHB78"/>
    <mergeCell ref="DHC78:DHD78"/>
    <mergeCell ref="DHE78:DHF78"/>
    <mergeCell ref="DHG78:DHH78"/>
    <mergeCell ref="DGO78:DGP78"/>
    <mergeCell ref="DGQ78:DGR78"/>
    <mergeCell ref="DGS78:DGT78"/>
    <mergeCell ref="DGU78:DGV78"/>
    <mergeCell ref="DGW78:DGX78"/>
    <mergeCell ref="DGE78:DGF78"/>
    <mergeCell ref="DGG78:DGH78"/>
    <mergeCell ref="DGI78:DGJ78"/>
    <mergeCell ref="DGK78:DGL78"/>
    <mergeCell ref="DGM78:DGN78"/>
    <mergeCell ref="DFU78:DFV78"/>
    <mergeCell ref="DFW78:DFX78"/>
    <mergeCell ref="DFY78:DFZ78"/>
    <mergeCell ref="DGA78:DGB78"/>
    <mergeCell ref="DGC78:DGD78"/>
    <mergeCell ref="DIM78:DIN78"/>
    <mergeCell ref="DIO78:DIP78"/>
    <mergeCell ref="DIQ78:DIR78"/>
    <mergeCell ref="DIS78:DIT78"/>
    <mergeCell ref="DIU78:DIV78"/>
    <mergeCell ref="DIC78:DID78"/>
    <mergeCell ref="DIE78:DIF78"/>
    <mergeCell ref="DIG78:DIH78"/>
    <mergeCell ref="DII78:DIJ78"/>
    <mergeCell ref="DIK78:DIL78"/>
    <mergeCell ref="DHS78:DHT78"/>
    <mergeCell ref="DHU78:DHV78"/>
    <mergeCell ref="DHW78:DHX78"/>
    <mergeCell ref="DHY78:DHZ78"/>
    <mergeCell ref="DIA78:DIB78"/>
    <mergeCell ref="DHI78:DHJ78"/>
    <mergeCell ref="DHK78:DHL78"/>
    <mergeCell ref="DHM78:DHN78"/>
    <mergeCell ref="DHO78:DHP78"/>
    <mergeCell ref="DHQ78:DHR78"/>
    <mergeCell ref="DKA78:DKB78"/>
    <mergeCell ref="DKC78:DKD78"/>
    <mergeCell ref="DKE78:DKF78"/>
    <mergeCell ref="DKG78:DKH78"/>
    <mergeCell ref="DKI78:DKJ78"/>
    <mergeCell ref="DJQ78:DJR78"/>
    <mergeCell ref="DJS78:DJT78"/>
    <mergeCell ref="DJU78:DJV78"/>
    <mergeCell ref="DJW78:DJX78"/>
    <mergeCell ref="DJY78:DJZ78"/>
    <mergeCell ref="DJG78:DJH78"/>
    <mergeCell ref="DJI78:DJJ78"/>
    <mergeCell ref="DJK78:DJL78"/>
    <mergeCell ref="DJM78:DJN78"/>
    <mergeCell ref="DJO78:DJP78"/>
    <mergeCell ref="DIW78:DIX78"/>
    <mergeCell ref="DIY78:DIZ78"/>
    <mergeCell ref="DJA78:DJB78"/>
    <mergeCell ref="DJC78:DJD78"/>
    <mergeCell ref="DJE78:DJF78"/>
    <mergeCell ref="DLO78:DLP78"/>
    <mergeCell ref="DLQ78:DLR78"/>
    <mergeCell ref="DLS78:DLT78"/>
    <mergeCell ref="DLU78:DLV78"/>
    <mergeCell ref="DLW78:DLX78"/>
    <mergeCell ref="DLE78:DLF78"/>
    <mergeCell ref="DLG78:DLH78"/>
    <mergeCell ref="DLI78:DLJ78"/>
    <mergeCell ref="DLK78:DLL78"/>
    <mergeCell ref="DLM78:DLN78"/>
    <mergeCell ref="DKU78:DKV78"/>
    <mergeCell ref="DKW78:DKX78"/>
    <mergeCell ref="DKY78:DKZ78"/>
    <mergeCell ref="DLA78:DLB78"/>
    <mergeCell ref="DLC78:DLD78"/>
    <mergeCell ref="DKK78:DKL78"/>
    <mergeCell ref="DKM78:DKN78"/>
    <mergeCell ref="DKO78:DKP78"/>
    <mergeCell ref="DKQ78:DKR78"/>
    <mergeCell ref="DKS78:DKT78"/>
    <mergeCell ref="DNC78:DND78"/>
    <mergeCell ref="DNE78:DNF78"/>
    <mergeCell ref="DNG78:DNH78"/>
    <mergeCell ref="DNI78:DNJ78"/>
    <mergeCell ref="DNK78:DNL78"/>
    <mergeCell ref="DMS78:DMT78"/>
    <mergeCell ref="DMU78:DMV78"/>
    <mergeCell ref="DMW78:DMX78"/>
    <mergeCell ref="DMY78:DMZ78"/>
    <mergeCell ref="DNA78:DNB78"/>
    <mergeCell ref="DMI78:DMJ78"/>
    <mergeCell ref="DMK78:DML78"/>
    <mergeCell ref="DMM78:DMN78"/>
    <mergeCell ref="DMO78:DMP78"/>
    <mergeCell ref="DMQ78:DMR78"/>
    <mergeCell ref="DLY78:DLZ78"/>
    <mergeCell ref="DMA78:DMB78"/>
    <mergeCell ref="DMC78:DMD78"/>
    <mergeCell ref="DME78:DMF78"/>
    <mergeCell ref="DMG78:DMH78"/>
    <mergeCell ref="DOQ78:DOR78"/>
    <mergeCell ref="DOS78:DOT78"/>
    <mergeCell ref="DOU78:DOV78"/>
    <mergeCell ref="DOW78:DOX78"/>
    <mergeCell ref="DOY78:DOZ78"/>
    <mergeCell ref="DOG78:DOH78"/>
    <mergeCell ref="DOI78:DOJ78"/>
    <mergeCell ref="DOK78:DOL78"/>
    <mergeCell ref="DOM78:DON78"/>
    <mergeCell ref="DOO78:DOP78"/>
    <mergeCell ref="DNW78:DNX78"/>
    <mergeCell ref="DNY78:DNZ78"/>
    <mergeCell ref="DOA78:DOB78"/>
    <mergeCell ref="DOC78:DOD78"/>
    <mergeCell ref="DOE78:DOF78"/>
    <mergeCell ref="DNM78:DNN78"/>
    <mergeCell ref="DNO78:DNP78"/>
    <mergeCell ref="DNQ78:DNR78"/>
    <mergeCell ref="DNS78:DNT78"/>
    <mergeCell ref="DNU78:DNV78"/>
    <mergeCell ref="DQE78:DQF78"/>
    <mergeCell ref="DQG78:DQH78"/>
    <mergeCell ref="DQI78:DQJ78"/>
    <mergeCell ref="DQK78:DQL78"/>
    <mergeCell ref="DQM78:DQN78"/>
    <mergeCell ref="DPU78:DPV78"/>
    <mergeCell ref="DPW78:DPX78"/>
    <mergeCell ref="DPY78:DPZ78"/>
    <mergeCell ref="DQA78:DQB78"/>
    <mergeCell ref="DQC78:DQD78"/>
    <mergeCell ref="DPK78:DPL78"/>
    <mergeCell ref="DPM78:DPN78"/>
    <mergeCell ref="DPO78:DPP78"/>
    <mergeCell ref="DPQ78:DPR78"/>
    <mergeCell ref="DPS78:DPT78"/>
    <mergeCell ref="DPA78:DPB78"/>
    <mergeCell ref="DPC78:DPD78"/>
    <mergeCell ref="DPE78:DPF78"/>
    <mergeCell ref="DPG78:DPH78"/>
    <mergeCell ref="DPI78:DPJ78"/>
    <mergeCell ref="DRS78:DRT78"/>
    <mergeCell ref="DRU78:DRV78"/>
    <mergeCell ref="DRW78:DRX78"/>
    <mergeCell ref="DRY78:DRZ78"/>
    <mergeCell ref="DSA78:DSB78"/>
    <mergeCell ref="DRI78:DRJ78"/>
    <mergeCell ref="DRK78:DRL78"/>
    <mergeCell ref="DRM78:DRN78"/>
    <mergeCell ref="DRO78:DRP78"/>
    <mergeCell ref="DRQ78:DRR78"/>
    <mergeCell ref="DQY78:DQZ78"/>
    <mergeCell ref="DRA78:DRB78"/>
    <mergeCell ref="DRC78:DRD78"/>
    <mergeCell ref="DRE78:DRF78"/>
    <mergeCell ref="DRG78:DRH78"/>
    <mergeCell ref="DQO78:DQP78"/>
    <mergeCell ref="DQQ78:DQR78"/>
    <mergeCell ref="DQS78:DQT78"/>
    <mergeCell ref="DQU78:DQV78"/>
    <mergeCell ref="DQW78:DQX78"/>
    <mergeCell ref="DTG78:DTH78"/>
    <mergeCell ref="DTI78:DTJ78"/>
    <mergeCell ref="DTK78:DTL78"/>
    <mergeCell ref="DTM78:DTN78"/>
    <mergeCell ref="DTO78:DTP78"/>
    <mergeCell ref="DSW78:DSX78"/>
    <mergeCell ref="DSY78:DSZ78"/>
    <mergeCell ref="DTA78:DTB78"/>
    <mergeCell ref="DTC78:DTD78"/>
    <mergeCell ref="DTE78:DTF78"/>
    <mergeCell ref="DSM78:DSN78"/>
    <mergeCell ref="DSO78:DSP78"/>
    <mergeCell ref="DSQ78:DSR78"/>
    <mergeCell ref="DSS78:DST78"/>
    <mergeCell ref="DSU78:DSV78"/>
    <mergeCell ref="DSC78:DSD78"/>
    <mergeCell ref="DSE78:DSF78"/>
    <mergeCell ref="DSG78:DSH78"/>
    <mergeCell ref="DSI78:DSJ78"/>
    <mergeCell ref="DSK78:DSL78"/>
    <mergeCell ref="DUU78:DUV78"/>
    <mergeCell ref="DUW78:DUX78"/>
    <mergeCell ref="DUY78:DUZ78"/>
    <mergeCell ref="DVA78:DVB78"/>
    <mergeCell ref="DVC78:DVD78"/>
    <mergeCell ref="DUK78:DUL78"/>
    <mergeCell ref="DUM78:DUN78"/>
    <mergeCell ref="DUO78:DUP78"/>
    <mergeCell ref="DUQ78:DUR78"/>
    <mergeCell ref="DUS78:DUT78"/>
    <mergeCell ref="DUA78:DUB78"/>
    <mergeCell ref="DUC78:DUD78"/>
    <mergeCell ref="DUE78:DUF78"/>
    <mergeCell ref="DUG78:DUH78"/>
    <mergeCell ref="DUI78:DUJ78"/>
    <mergeCell ref="DTQ78:DTR78"/>
    <mergeCell ref="DTS78:DTT78"/>
    <mergeCell ref="DTU78:DTV78"/>
    <mergeCell ref="DTW78:DTX78"/>
    <mergeCell ref="DTY78:DTZ78"/>
    <mergeCell ref="DWI78:DWJ78"/>
    <mergeCell ref="DWK78:DWL78"/>
    <mergeCell ref="DWM78:DWN78"/>
    <mergeCell ref="DWO78:DWP78"/>
    <mergeCell ref="DWQ78:DWR78"/>
    <mergeCell ref="DVY78:DVZ78"/>
    <mergeCell ref="DWA78:DWB78"/>
    <mergeCell ref="DWC78:DWD78"/>
    <mergeCell ref="DWE78:DWF78"/>
    <mergeCell ref="DWG78:DWH78"/>
    <mergeCell ref="DVO78:DVP78"/>
    <mergeCell ref="DVQ78:DVR78"/>
    <mergeCell ref="DVS78:DVT78"/>
    <mergeCell ref="DVU78:DVV78"/>
    <mergeCell ref="DVW78:DVX78"/>
    <mergeCell ref="DVE78:DVF78"/>
    <mergeCell ref="DVG78:DVH78"/>
    <mergeCell ref="DVI78:DVJ78"/>
    <mergeCell ref="DVK78:DVL78"/>
    <mergeCell ref="DVM78:DVN78"/>
    <mergeCell ref="DXW78:DXX78"/>
    <mergeCell ref="DXY78:DXZ78"/>
    <mergeCell ref="DYA78:DYB78"/>
    <mergeCell ref="DYC78:DYD78"/>
    <mergeCell ref="DYE78:DYF78"/>
    <mergeCell ref="DXM78:DXN78"/>
    <mergeCell ref="DXO78:DXP78"/>
    <mergeCell ref="DXQ78:DXR78"/>
    <mergeCell ref="DXS78:DXT78"/>
    <mergeCell ref="DXU78:DXV78"/>
    <mergeCell ref="DXC78:DXD78"/>
    <mergeCell ref="DXE78:DXF78"/>
    <mergeCell ref="DXG78:DXH78"/>
    <mergeCell ref="DXI78:DXJ78"/>
    <mergeCell ref="DXK78:DXL78"/>
    <mergeCell ref="DWS78:DWT78"/>
    <mergeCell ref="DWU78:DWV78"/>
    <mergeCell ref="DWW78:DWX78"/>
    <mergeCell ref="DWY78:DWZ78"/>
    <mergeCell ref="DXA78:DXB78"/>
    <mergeCell ref="DZK78:DZL78"/>
    <mergeCell ref="DZM78:DZN78"/>
    <mergeCell ref="DZO78:DZP78"/>
    <mergeCell ref="DZQ78:DZR78"/>
    <mergeCell ref="DZS78:DZT78"/>
    <mergeCell ref="DZA78:DZB78"/>
    <mergeCell ref="DZC78:DZD78"/>
    <mergeCell ref="DZE78:DZF78"/>
    <mergeCell ref="DZG78:DZH78"/>
    <mergeCell ref="DZI78:DZJ78"/>
    <mergeCell ref="DYQ78:DYR78"/>
    <mergeCell ref="DYS78:DYT78"/>
    <mergeCell ref="DYU78:DYV78"/>
    <mergeCell ref="DYW78:DYX78"/>
    <mergeCell ref="DYY78:DYZ78"/>
    <mergeCell ref="DYG78:DYH78"/>
    <mergeCell ref="DYI78:DYJ78"/>
    <mergeCell ref="DYK78:DYL78"/>
    <mergeCell ref="DYM78:DYN78"/>
    <mergeCell ref="DYO78:DYP78"/>
    <mergeCell ref="EAY78:EAZ78"/>
    <mergeCell ref="EBA78:EBB78"/>
    <mergeCell ref="EBC78:EBD78"/>
    <mergeCell ref="EBE78:EBF78"/>
    <mergeCell ref="EBG78:EBH78"/>
    <mergeCell ref="EAO78:EAP78"/>
    <mergeCell ref="EAQ78:EAR78"/>
    <mergeCell ref="EAS78:EAT78"/>
    <mergeCell ref="EAU78:EAV78"/>
    <mergeCell ref="EAW78:EAX78"/>
    <mergeCell ref="EAE78:EAF78"/>
    <mergeCell ref="EAG78:EAH78"/>
    <mergeCell ref="EAI78:EAJ78"/>
    <mergeCell ref="EAK78:EAL78"/>
    <mergeCell ref="EAM78:EAN78"/>
    <mergeCell ref="DZU78:DZV78"/>
    <mergeCell ref="DZW78:DZX78"/>
    <mergeCell ref="DZY78:DZZ78"/>
    <mergeCell ref="EAA78:EAB78"/>
    <mergeCell ref="EAC78:EAD78"/>
    <mergeCell ref="ECM78:ECN78"/>
    <mergeCell ref="ECO78:ECP78"/>
    <mergeCell ref="ECQ78:ECR78"/>
    <mergeCell ref="ECS78:ECT78"/>
    <mergeCell ref="ECU78:ECV78"/>
    <mergeCell ref="ECC78:ECD78"/>
    <mergeCell ref="ECE78:ECF78"/>
    <mergeCell ref="ECG78:ECH78"/>
    <mergeCell ref="ECI78:ECJ78"/>
    <mergeCell ref="ECK78:ECL78"/>
    <mergeCell ref="EBS78:EBT78"/>
    <mergeCell ref="EBU78:EBV78"/>
    <mergeCell ref="EBW78:EBX78"/>
    <mergeCell ref="EBY78:EBZ78"/>
    <mergeCell ref="ECA78:ECB78"/>
    <mergeCell ref="EBI78:EBJ78"/>
    <mergeCell ref="EBK78:EBL78"/>
    <mergeCell ref="EBM78:EBN78"/>
    <mergeCell ref="EBO78:EBP78"/>
    <mergeCell ref="EBQ78:EBR78"/>
    <mergeCell ref="EEA78:EEB78"/>
    <mergeCell ref="EEC78:EED78"/>
    <mergeCell ref="EEE78:EEF78"/>
    <mergeCell ref="EEG78:EEH78"/>
    <mergeCell ref="EEI78:EEJ78"/>
    <mergeCell ref="EDQ78:EDR78"/>
    <mergeCell ref="EDS78:EDT78"/>
    <mergeCell ref="EDU78:EDV78"/>
    <mergeCell ref="EDW78:EDX78"/>
    <mergeCell ref="EDY78:EDZ78"/>
    <mergeCell ref="EDG78:EDH78"/>
    <mergeCell ref="EDI78:EDJ78"/>
    <mergeCell ref="EDK78:EDL78"/>
    <mergeCell ref="EDM78:EDN78"/>
    <mergeCell ref="EDO78:EDP78"/>
    <mergeCell ref="ECW78:ECX78"/>
    <mergeCell ref="ECY78:ECZ78"/>
    <mergeCell ref="EDA78:EDB78"/>
    <mergeCell ref="EDC78:EDD78"/>
    <mergeCell ref="EDE78:EDF78"/>
    <mergeCell ref="EFO78:EFP78"/>
    <mergeCell ref="EFQ78:EFR78"/>
    <mergeCell ref="EFS78:EFT78"/>
    <mergeCell ref="EFU78:EFV78"/>
    <mergeCell ref="EFW78:EFX78"/>
    <mergeCell ref="EFE78:EFF78"/>
    <mergeCell ref="EFG78:EFH78"/>
    <mergeCell ref="EFI78:EFJ78"/>
    <mergeCell ref="EFK78:EFL78"/>
    <mergeCell ref="EFM78:EFN78"/>
    <mergeCell ref="EEU78:EEV78"/>
    <mergeCell ref="EEW78:EEX78"/>
    <mergeCell ref="EEY78:EEZ78"/>
    <mergeCell ref="EFA78:EFB78"/>
    <mergeCell ref="EFC78:EFD78"/>
    <mergeCell ref="EEK78:EEL78"/>
    <mergeCell ref="EEM78:EEN78"/>
    <mergeCell ref="EEO78:EEP78"/>
    <mergeCell ref="EEQ78:EER78"/>
    <mergeCell ref="EES78:EET78"/>
    <mergeCell ref="EHC78:EHD78"/>
    <mergeCell ref="EHE78:EHF78"/>
    <mergeCell ref="EHG78:EHH78"/>
    <mergeCell ref="EHI78:EHJ78"/>
    <mergeCell ref="EHK78:EHL78"/>
    <mergeCell ref="EGS78:EGT78"/>
    <mergeCell ref="EGU78:EGV78"/>
    <mergeCell ref="EGW78:EGX78"/>
    <mergeCell ref="EGY78:EGZ78"/>
    <mergeCell ref="EHA78:EHB78"/>
    <mergeCell ref="EGI78:EGJ78"/>
    <mergeCell ref="EGK78:EGL78"/>
    <mergeCell ref="EGM78:EGN78"/>
    <mergeCell ref="EGO78:EGP78"/>
    <mergeCell ref="EGQ78:EGR78"/>
    <mergeCell ref="EFY78:EFZ78"/>
    <mergeCell ref="EGA78:EGB78"/>
    <mergeCell ref="EGC78:EGD78"/>
    <mergeCell ref="EGE78:EGF78"/>
    <mergeCell ref="EGG78:EGH78"/>
    <mergeCell ref="EIQ78:EIR78"/>
    <mergeCell ref="EIS78:EIT78"/>
    <mergeCell ref="EIU78:EIV78"/>
    <mergeCell ref="EIW78:EIX78"/>
    <mergeCell ref="EIY78:EIZ78"/>
    <mergeCell ref="EIG78:EIH78"/>
    <mergeCell ref="EII78:EIJ78"/>
    <mergeCell ref="EIK78:EIL78"/>
    <mergeCell ref="EIM78:EIN78"/>
    <mergeCell ref="EIO78:EIP78"/>
    <mergeCell ref="EHW78:EHX78"/>
    <mergeCell ref="EHY78:EHZ78"/>
    <mergeCell ref="EIA78:EIB78"/>
    <mergeCell ref="EIC78:EID78"/>
    <mergeCell ref="EIE78:EIF78"/>
    <mergeCell ref="EHM78:EHN78"/>
    <mergeCell ref="EHO78:EHP78"/>
    <mergeCell ref="EHQ78:EHR78"/>
    <mergeCell ref="EHS78:EHT78"/>
    <mergeCell ref="EHU78:EHV78"/>
    <mergeCell ref="EKE78:EKF78"/>
    <mergeCell ref="EKG78:EKH78"/>
    <mergeCell ref="EKI78:EKJ78"/>
    <mergeCell ref="EKK78:EKL78"/>
    <mergeCell ref="EKM78:EKN78"/>
    <mergeCell ref="EJU78:EJV78"/>
    <mergeCell ref="EJW78:EJX78"/>
    <mergeCell ref="EJY78:EJZ78"/>
    <mergeCell ref="EKA78:EKB78"/>
    <mergeCell ref="EKC78:EKD78"/>
    <mergeCell ref="EJK78:EJL78"/>
    <mergeCell ref="EJM78:EJN78"/>
    <mergeCell ref="EJO78:EJP78"/>
    <mergeCell ref="EJQ78:EJR78"/>
    <mergeCell ref="EJS78:EJT78"/>
    <mergeCell ref="EJA78:EJB78"/>
    <mergeCell ref="EJC78:EJD78"/>
    <mergeCell ref="EJE78:EJF78"/>
    <mergeCell ref="EJG78:EJH78"/>
    <mergeCell ref="EJI78:EJJ78"/>
    <mergeCell ref="ELS78:ELT78"/>
    <mergeCell ref="ELU78:ELV78"/>
    <mergeCell ref="ELW78:ELX78"/>
    <mergeCell ref="ELY78:ELZ78"/>
    <mergeCell ref="EMA78:EMB78"/>
    <mergeCell ref="ELI78:ELJ78"/>
    <mergeCell ref="ELK78:ELL78"/>
    <mergeCell ref="ELM78:ELN78"/>
    <mergeCell ref="ELO78:ELP78"/>
    <mergeCell ref="ELQ78:ELR78"/>
    <mergeCell ref="EKY78:EKZ78"/>
    <mergeCell ref="ELA78:ELB78"/>
    <mergeCell ref="ELC78:ELD78"/>
    <mergeCell ref="ELE78:ELF78"/>
    <mergeCell ref="ELG78:ELH78"/>
    <mergeCell ref="EKO78:EKP78"/>
    <mergeCell ref="EKQ78:EKR78"/>
    <mergeCell ref="EKS78:EKT78"/>
    <mergeCell ref="EKU78:EKV78"/>
    <mergeCell ref="EKW78:EKX78"/>
    <mergeCell ref="ENG78:ENH78"/>
    <mergeCell ref="ENI78:ENJ78"/>
    <mergeCell ref="ENK78:ENL78"/>
    <mergeCell ref="ENM78:ENN78"/>
    <mergeCell ref="ENO78:ENP78"/>
    <mergeCell ref="EMW78:EMX78"/>
    <mergeCell ref="EMY78:EMZ78"/>
    <mergeCell ref="ENA78:ENB78"/>
    <mergeCell ref="ENC78:END78"/>
    <mergeCell ref="ENE78:ENF78"/>
    <mergeCell ref="EMM78:EMN78"/>
    <mergeCell ref="EMO78:EMP78"/>
    <mergeCell ref="EMQ78:EMR78"/>
    <mergeCell ref="EMS78:EMT78"/>
    <mergeCell ref="EMU78:EMV78"/>
    <mergeCell ref="EMC78:EMD78"/>
    <mergeCell ref="EME78:EMF78"/>
    <mergeCell ref="EMG78:EMH78"/>
    <mergeCell ref="EMI78:EMJ78"/>
    <mergeCell ref="EMK78:EML78"/>
    <mergeCell ref="EOU78:EOV78"/>
    <mergeCell ref="EOW78:EOX78"/>
    <mergeCell ref="EOY78:EOZ78"/>
    <mergeCell ref="EPA78:EPB78"/>
    <mergeCell ref="EPC78:EPD78"/>
    <mergeCell ref="EOK78:EOL78"/>
    <mergeCell ref="EOM78:EON78"/>
    <mergeCell ref="EOO78:EOP78"/>
    <mergeCell ref="EOQ78:EOR78"/>
    <mergeCell ref="EOS78:EOT78"/>
    <mergeCell ref="EOA78:EOB78"/>
    <mergeCell ref="EOC78:EOD78"/>
    <mergeCell ref="EOE78:EOF78"/>
    <mergeCell ref="EOG78:EOH78"/>
    <mergeCell ref="EOI78:EOJ78"/>
    <mergeCell ref="ENQ78:ENR78"/>
    <mergeCell ref="ENS78:ENT78"/>
    <mergeCell ref="ENU78:ENV78"/>
    <mergeCell ref="ENW78:ENX78"/>
    <mergeCell ref="ENY78:ENZ78"/>
    <mergeCell ref="EQI78:EQJ78"/>
    <mergeCell ref="EQK78:EQL78"/>
    <mergeCell ref="EQM78:EQN78"/>
    <mergeCell ref="EQO78:EQP78"/>
    <mergeCell ref="EQQ78:EQR78"/>
    <mergeCell ref="EPY78:EPZ78"/>
    <mergeCell ref="EQA78:EQB78"/>
    <mergeCell ref="EQC78:EQD78"/>
    <mergeCell ref="EQE78:EQF78"/>
    <mergeCell ref="EQG78:EQH78"/>
    <mergeCell ref="EPO78:EPP78"/>
    <mergeCell ref="EPQ78:EPR78"/>
    <mergeCell ref="EPS78:EPT78"/>
    <mergeCell ref="EPU78:EPV78"/>
    <mergeCell ref="EPW78:EPX78"/>
    <mergeCell ref="EPE78:EPF78"/>
    <mergeCell ref="EPG78:EPH78"/>
    <mergeCell ref="EPI78:EPJ78"/>
    <mergeCell ref="EPK78:EPL78"/>
    <mergeCell ref="EPM78:EPN78"/>
    <mergeCell ref="ERW78:ERX78"/>
    <mergeCell ref="ERY78:ERZ78"/>
    <mergeCell ref="ESA78:ESB78"/>
    <mergeCell ref="ESC78:ESD78"/>
    <mergeCell ref="ESE78:ESF78"/>
    <mergeCell ref="ERM78:ERN78"/>
    <mergeCell ref="ERO78:ERP78"/>
    <mergeCell ref="ERQ78:ERR78"/>
    <mergeCell ref="ERS78:ERT78"/>
    <mergeCell ref="ERU78:ERV78"/>
    <mergeCell ref="ERC78:ERD78"/>
    <mergeCell ref="ERE78:ERF78"/>
    <mergeCell ref="ERG78:ERH78"/>
    <mergeCell ref="ERI78:ERJ78"/>
    <mergeCell ref="ERK78:ERL78"/>
    <mergeCell ref="EQS78:EQT78"/>
    <mergeCell ref="EQU78:EQV78"/>
    <mergeCell ref="EQW78:EQX78"/>
    <mergeCell ref="EQY78:EQZ78"/>
    <mergeCell ref="ERA78:ERB78"/>
    <mergeCell ref="ETK78:ETL78"/>
    <mergeCell ref="ETM78:ETN78"/>
    <mergeCell ref="ETO78:ETP78"/>
    <mergeCell ref="ETQ78:ETR78"/>
    <mergeCell ref="ETS78:ETT78"/>
    <mergeCell ref="ETA78:ETB78"/>
    <mergeCell ref="ETC78:ETD78"/>
    <mergeCell ref="ETE78:ETF78"/>
    <mergeCell ref="ETG78:ETH78"/>
    <mergeCell ref="ETI78:ETJ78"/>
    <mergeCell ref="ESQ78:ESR78"/>
    <mergeCell ref="ESS78:EST78"/>
    <mergeCell ref="ESU78:ESV78"/>
    <mergeCell ref="ESW78:ESX78"/>
    <mergeCell ref="ESY78:ESZ78"/>
    <mergeCell ref="ESG78:ESH78"/>
    <mergeCell ref="ESI78:ESJ78"/>
    <mergeCell ref="ESK78:ESL78"/>
    <mergeCell ref="ESM78:ESN78"/>
    <mergeCell ref="ESO78:ESP78"/>
    <mergeCell ref="EUY78:EUZ78"/>
    <mergeCell ref="EVA78:EVB78"/>
    <mergeCell ref="EVC78:EVD78"/>
    <mergeCell ref="EVE78:EVF78"/>
    <mergeCell ref="EVG78:EVH78"/>
    <mergeCell ref="EUO78:EUP78"/>
    <mergeCell ref="EUQ78:EUR78"/>
    <mergeCell ref="EUS78:EUT78"/>
    <mergeCell ref="EUU78:EUV78"/>
    <mergeCell ref="EUW78:EUX78"/>
    <mergeCell ref="EUE78:EUF78"/>
    <mergeCell ref="EUG78:EUH78"/>
    <mergeCell ref="EUI78:EUJ78"/>
    <mergeCell ref="EUK78:EUL78"/>
    <mergeCell ref="EUM78:EUN78"/>
    <mergeCell ref="ETU78:ETV78"/>
    <mergeCell ref="ETW78:ETX78"/>
    <mergeCell ref="ETY78:ETZ78"/>
    <mergeCell ref="EUA78:EUB78"/>
    <mergeCell ref="EUC78:EUD78"/>
    <mergeCell ref="EWM78:EWN78"/>
    <mergeCell ref="EWO78:EWP78"/>
    <mergeCell ref="EWQ78:EWR78"/>
    <mergeCell ref="EWS78:EWT78"/>
    <mergeCell ref="EWU78:EWV78"/>
    <mergeCell ref="EWC78:EWD78"/>
    <mergeCell ref="EWE78:EWF78"/>
    <mergeCell ref="EWG78:EWH78"/>
    <mergeCell ref="EWI78:EWJ78"/>
    <mergeCell ref="EWK78:EWL78"/>
    <mergeCell ref="EVS78:EVT78"/>
    <mergeCell ref="EVU78:EVV78"/>
    <mergeCell ref="EVW78:EVX78"/>
    <mergeCell ref="EVY78:EVZ78"/>
    <mergeCell ref="EWA78:EWB78"/>
    <mergeCell ref="EVI78:EVJ78"/>
    <mergeCell ref="EVK78:EVL78"/>
    <mergeCell ref="EVM78:EVN78"/>
    <mergeCell ref="EVO78:EVP78"/>
    <mergeCell ref="EVQ78:EVR78"/>
    <mergeCell ref="EYA78:EYB78"/>
    <mergeCell ref="EYC78:EYD78"/>
    <mergeCell ref="EYE78:EYF78"/>
    <mergeCell ref="EYG78:EYH78"/>
    <mergeCell ref="EYI78:EYJ78"/>
    <mergeCell ref="EXQ78:EXR78"/>
    <mergeCell ref="EXS78:EXT78"/>
    <mergeCell ref="EXU78:EXV78"/>
    <mergeCell ref="EXW78:EXX78"/>
    <mergeCell ref="EXY78:EXZ78"/>
    <mergeCell ref="EXG78:EXH78"/>
    <mergeCell ref="EXI78:EXJ78"/>
    <mergeCell ref="EXK78:EXL78"/>
    <mergeCell ref="EXM78:EXN78"/>
    <mergeCell ref="EXO78:EXP78"/>
    <mergeCell ref="EWW78:EWX78"/>
    <mergeCell ref="EWY78:EWZ78"/>
    <mergeCell ref="EXA78:EXB78"/>
    <mergeCell ref="EXC78:EXD78"/>
    <mergeCell ref="EXE78:EXF78"/>
    <mergeCell ref="EZO78:EZP78"/>
    <mergeCell ref="EZQ78:EZR78"/>
    <mergeCell ref="EZS78:EZT78"/>
    <mergeCell ref="EZU78:EZV78"/>
    <mergeCell ref="EZW78:EZX78"/>
    <mergeCell ref="EZE78:EZF78"/>
    <mergeCell ref="EZG78:EZH78"/>
    <mergeCell ref="EZI78:EZJ78"/>
    <mergeCell ref="EZK78:EZL78"/>
    <mergeCell ref="EZM78:EZN78"/>
    <mergeCell ref="EYU78:EYV78"/>
    <mergeCell ref="EYW78:EYX78"/>
    <mergeCell ref="EYY78:EYZ78"/>
    <mergeCell ref="EZA78:EZB78"/>
    <mergeCell ref="EZC78:EZD78"/>
    <mergeCell ref="EYK78:EYL78"/>
    <mergeCell ref="EYM78:EYN78"/>
    <mergeCell ref="EYO78:EYP78"/>
    <mergeCell ref="EYQ78:EYR78"/>
    <mergeCell ref="EYS78:EYT78"/>
    <mergeCell ref="FBC78:FBD78"/>
    <mergeCell ref="FBE78:FBF78"/>
    <mergeCell ref="FBG78:FBH78"/>
    <mergeCell ref="FBI78:FBJ78"/>
    <mergeCell ref="FBK78:FBL78"/>
    <mergeCell ref="FAS78:FAT78"/>
    <mergeCell ref="FAU78:FAV78"/>
    <mergeCell ref="FAW78:FAX78"/>
    <mergeCell ref="FAY78:FAZ78"/>
    <mergeCell ref="FBA78:FBB78"/>
    <mergeCell ref="FAI78:FAJ78"/>
    <mergeCell ref="FAK78:FAL78"/>
    <mergeCell ref="FAM78:FAN78"/>
    <mergeCell ref="FAO78:FAP78"/>
    <mergeCell ref="FAQ78:FAR78"/>
    <mergeCell ref="EZY78:EZZ78"/>
    <mergeCell ref="FAA78:FAB78"/>
    <mergeCell ref="FAC78:FAD78"/>
    <mergeCell ref="FAE78:FAF78"/>
    <mergeCell ref="FAG78:FAH78"/>
    <mergeCell ref="FCQ78:FCR78"/>
    <mergeCell ref="FCS78:FCT78"/>
    <mergeCell ref="FCU78:FCV78"/>
    <mergeCell ref="FCW78:FCX78"/>
    <mergeCell ref="FCY78:FCZ78"/>
    <mergeCell ref="FCG78:FCH78"/>
    <mergeCell ref="FCI78:FCJ78"/>
    <mergeCell ref="FCK78:FCL78"/>
    <mergeCell ref="FCM78:FCN78"/>
    <mergeCell ref="FCO78:FCP78"/>
    <mergeCell ref="FBW78:FBX78"/>
    <mergeCell ref="FBY78:FBZ78"/>
    <mergeCell ref="FCA78:FCB78"/>
    <mergeCell ref="FCC78:FCD78"/>
    <mergeCell ref="FCE78:FCF78"/>
    <mergeCell ref="FBM78:FBN78"/>
    <mergeCell ref="FBO78:FBP78"/>
    <mergeCell ref="FBQ78:FBR78"/>
    <mergeCell ref="FBS78:FBT78"/>
    <mergeCell ref="FBU78:FBV78"/>
    <mergeCell ref="FEE78:FEF78"/>
    <mergeCell ref="FEG78:FEH78"/>
    <mergeCell ref="FEI78:FEJ78"/>
    <mergeCell ref="FEK78:FEL78"/>
    <mergeCell ref="FEM78:FEN78"/>
    <mergeCell ref="FDU78:FDV78"/>
    <mergeCell ref="FDW78:FDX78"/>
    <mergeCell ref="FDY78:FDZ78"/>
    <mergeCell ref="FEA78:FEB78"/>
    <mergeCell ref="FEC78:FED78"/>
    <mergeCell ref="FDK78:FDL78"/>
    <mergeCell ref="FDM78:FDN78"/>
    <mergeCell ref="FDO78:FDP78"/>
    <mergeCell ref="FDQ78:FDR78"/>
    <mergeCell ref="FDS78:FDT78"/>
    <mergeCell ref="FDA78:FDB78"/>
    <mergeCell ref="FDC78:FDD78"/>
    <mergeCell ref="FDE78:FDF78"/>
    <mergeCell ref="FDG78:FDH78"/>
    <mergeCell ref="FDI78:FDJ78"/>
    <mergeCell ref="FFS78:FFT78"/>
    <mergeCell ref="FFU78:FFV78"/>
    <mergeCell ref="FFW78:FFX78"/>
    <mergeCell ref="FFY78:FFZ78"/>
    <mergeCell ref="FGA78:FGB78"/>
    <mergeCell ref="FFI78:FFJ78"/>
    <mergeCell ref="FFK78:FFL78"/>
    <mergeCell ref="FFM78:FFN78"/>
    <mergeCell ref="FFO78:FFP78"/>
    <mergeCell ref="FFQ78:FFR78"/>
    <mergeCell ref="FEY78:FEZ78"/>
    <mergeCell ref="FFA78:FFB78"/>
    <mergeCell ref="FFC78:FFD78"/>
    <mergeCell ref="FFE78:FFF78"/>
    <mergeCell ref="FFG78:FFH78"/>
    <mergeCell ref="FEO78:FEP78"/>
    <mergeCell ref="FEQ78:FER78"/>
    <mergeCell ref="FES78:FET78"/>
    <mergeCell ref="FEU78:FEV78"/>
    <mergeCell ref="FEW78:FEX78"/>
    <mergeCell ref="FHG78:FHH78"/>
    <mergeCell ref="FHI78:FHJ78"/>
    <mergeCell ref="FHK78:FHL78"/>
    <mergeCell ref="FHM78:FHN78"/>
    <mergeCell ref="FHO78:FHP78"/>
    <mergeCell ref="FGW78:FGX78"/>
    <mergeCell ref="FGY78:FGZ78"/>
    <mergeCell ref="FHA78:FHB78"/>
    <mergeCell ref="FHC78:FHD78"/>
    <mergeCell ref="FHE78:FHF78"/>
    <mergeCell ref="FGM78:FGN78"/>
    <mergeCell ref="FGO78:FGP78"/>
    <mergeCell ref="FGQ78:FGR78"/>
    <mergeCell ref="FGS78:FGT78"/>
    <mergeCell ref="FGU78:FGV78"/>
    <mergeCell ref="FGC78:FGD78"/>
    <mergeCell ref="FGE78:FGF78"/>
    <mergeCell ref="FGG78:FGH78"/>
    <mergeCell ref="FGI78:FGJ78"/>
    <mergeCell ref="FGK78:FGL78"/>
    <mergeCell ref="FIU78:FIV78"/>
    <mergeCell ref="FIW78:FIX78"/>
    <mergeCell ref="FIY78:FIZ78"/>
    <mergeCell ref="FJA78:FJB78"/>
    <mergeCell ref="FJC78:FJD78"/>
    <mergeCell ref="FIK78:FIL78"/>
    <mergeCell ref="FIM78:FIN78"/>
    <mergeCell ref="FIO78:FIP78"/>
    <mergeCell ref="FIQ78:FIR78"/>
    <mergeCell ref="FIS78:FIT78"/>
    <mergeCell ref="FIA78:FIB78"/>
    <mergeCell ref="FIC78:FID78"/>
    <mergeCell ref="FIE78:FIF78"/>
    <mergeCell ref="FIG78:FIH78"/>
    <mergeCell ref="FII78:FIJ78"/>
    <mergeCell ref="FHQ78:FHR78"/>
    <mergeCell ref="FHS78:FHT78"/>
    <mergeCell ref="FHU78:FHV78"/>
    <mergeCell ref="FHW78:FHX78"/>
    <mergeCell ref="FHY78:FHZ78"/>
    <mergeCell ref="FKI78:FKJ78"/>
    <mergeCell ref="FKK78:FKL78"/>
    <mergeCell ref="FKM78:FKN78"/>
    <mergeCell ref="FKO78:FKP78"/>
    <mergeCell ref="FKQ78:FKR78"/>
    <mergeCell ref="FJY78:FJZ78"/>
    <mergeCell ref="FKA78:FKB78"/>
    <mergeCell ref="FKC78:FKD78"/>
    <mergeCell ref="FKE78:FKF78"/>
    <mergeCell ref="FKG78:FKH78"/>
    <mergeCell ref="FJO78:FJP78"/>
    <mergeCell ref="FJQ78:FJR78"/>
    <mergeCell ref="FJS78:FJT78"/>
    <mergeCell ref="FJU78:FJV78"/>
    <mergeCell ref="FJW78:FJX78"/>
    <mergeCell ref="FJE78:FJF78"/>
    <mergeCell ref="FJG78:FJH78"/>
    <mergeCell ref="FJI78:FJJ78"/>
    <mergeCell ref="FJK78:FJL78"/>
    <mergeCell ref="FJM78:FJN78"/>
    <mergeCell ref="FLW78:FLX78"/>
    <mergeCell ref="FLY78:FLZ78"/>
    <mergeCell ref="FMA78:FMB78"/>
    <mergeCell ref="FMC78:FMD78"/>
    <mergeCell ref="FME78:FMF78"/>
    <mergeCell ref="FLM78:FLN78"/>
    <mergeCell ref="FLO78:FLP78"/>
    <mergeCell ref="FLQ78:FLR78"/>
    <mergeCell ref="FLS78:FLT78"/>
    <mergeCell ref="FLU78:FLV78"/>
    <mergeCell ref="FLC78:FLD78"/>
    <mergeCell ref="FLE78:FLF78"/>
    <mergeCell ref="FLG78:FLH78"/>
    <mergeCell ref="FLI78:FLJ78"/>
    <mergeCell ref="FLK78:FLL78"/>
    <mergeCell ref="FKS78:FKT78"/>
    <mergeCell ref="FKU78:FKV78"/>
    <mergeCell ref="FKW78:FKX78"/>
    <mergeCell ref="FKY78:FKZ78"/>
    <mergeCell ref="FLA78:FLB78"/>
    <mergeCell ref="FNK78:FNL78"/>
    <mergeCell ref="FNM78:FNN78"/>
    <mergeCell ref="FNO78:FNP78"/>
    <mergeCell ref="FNQ78:FNR78"/>
    <mergeCell ref="FNS78:FNT78"/>
    <mergeCell ref="FNA78:FNB78"/>
    <mergeCell ref="FNC78:FND78"/>
    <mergeCell ref="FNE78:FNF78"/>
    <mergeCell ref="FNG78:FNH78"/>
    <mergeCell ref="FNI78:FNJ78"/>
    <mergeCell ref="FMQ78:FMR78"/>
    <mergeCell ref="FMS78:FMT78"/>
    <mergeCell ref="FMU78:FMV78"/>
    <mergeCell ref="FMW78:FMX78"/>
    <mergeCell ref="FMY78:FMZ78"/>
    <mergeCell ref="FMG78:FMH78"/>
    <mergeCell ref="FMI78:FMJ78"/>
    <mergeCell ref="FMK78:FML78"/>
    <mergeCell ref="FMM78:FMN78"/>
    <mergeCell ref="FMO78:FMP78"/>
    <mergeCell ref="FOY78:FOZ78"/>
    <mergeCell ref="FPA78:FPB78"/>
    <mergeCell ref="FPC78:FPD78"/>
    <mergeCell ref="FPE78:FPF78"/>
    <mergeCell ref="FPG78:FPH78"/>
    <mergeCell ref="FOO78:FOP78"/>
    <mergeCell ref="FOQ78:FOR78"/>
    <mergeCell ref="FOS78:FOT78"/>
    <mergeCell ref="FOU78:FOV78"/>
    <mergeCell ref="FOW78:FOX78"/>
    <mergeCell ref="FOE78:FOF78"/>
    <mergeCell ref="FOG78:FOH78"/>
    <mergeCell ref="FOI78:FOJ78"/>
    <mergeCell ref="FOK78:FOL78"/>
    <mergeCell ref="FOM78:FON78"/>
    <mergeCell ref="FNU78:FNV78"/>
    <mergeCell ref="FNW78:FNX78"/>
    <mergeCell ref="FNY78:FNZ78"/>
    <mergeCell ref="FOA78:FOB78"/>
    <mergeCell ref="FOC78:FOD78"/>
    <mergeCell ref="FQM78:FQN78"/>
    <mergeCell ref="FQO78:FQP78"/>
    <mergeCell ref="FQQ78:FQR78"/>
    <mergeCell ref="FQS78:FQT78"/>
    <mergeCell ref="FQU78:FQV78"/>
    <mergeCell ref="FQC78:FQD78"/>
    <mergeCell ref="FQE78:FQF78"/>
    <mergeCell ref="FQG78:FQH78"/>
    <mergeCell ref="FQI78:FQJ78"/>
    <mergeCell ref="FQK78:FQL78"/>
    <mergeCell ref="FPS78:FPT78"/>
    <mergeCell ref="FPU78:FPV78"/>
    <mergeCell ref="FPW78:FPX78"/>
    <mergeCell ref="FPY78:FPZ78"/>
    <mergeCell ref="FQA78:FQB78"/>
    <mergeCell ref="FPI78:FPJ78"/>
    <mergeCell ref="FPK78:FPL78"/>
    <mergeCell ref="FPM78:FPN78"/>
    <mergeCell ref="FPO78:FPP78"/>
    <mergeCell ref="FPQ78:FPR78"/>
    <mergeCell ref="FSA78:FSB78"/>
    <mergeCell ref="FSC78:FSD78"/>
    <mergeCell ref="FSE78:FSF78"/>
    <mergeCell ref="FSG78:FSH78"/>
    <mergeCell ref="FSI78:FSJ78"/>
    <mergeCell ref="FRQ78:FRR78"/>
    <mergeCell ref="FRS78:FRT78"/>
    <mergeCell ref="FRU78:FRV78"/>
    <mergeCell ref="FRW78:FRX78"/>
    <mergeCell ref="FRY78:FRZ78"/>
    <mergeCell ref="FRG78:FRH78"/>
    <mergeCell ref="FRI78:FRJ78"/>
    <mergeCell ref="FRK78:FRL78"/>
    <mergeCell ref="FRM78:FRN78"/>
    <mergeCell ref="FRO78:FRP78"/>
    <mergeCell ref="FQW78:FQX78"/>
    <mergeCell ref="FQY78:FQZ78"/>
    <mergeCell ref="FRA78:FRB78"/>
    <mergeCell ref="FRC78:FRD78"/>
    <mergeCell ref="FRE78:FRF78"/>
    <mergeCell ref="FTO78:FTP78"/>
    <mergeCell ref="FTQ78:FTR78"/>
    <mergeCell ref="FTS78:FTT78"/>
    <mergeCell ref="FTU78:FTV78"/>
    <mergeCell ref="FTW78:FTX78"/>
    <mergeCell ref="FTE78:FTF78"/>
    <mergeCell ref="FTG78:FTH78"/>
    <mergeCell ref="FTI78:FTJ78"/>
    <mergeCell ref="FTK78:FTL78"/>
    <mergeCell ref="FTM78:FTN78"/>
    <mergeCell ref="FSU78:FSV78"/>
    <mergeCell ref="FSW78:FSX78"/>
    <mergeCell ref="FSY78:FSZ78"/>
    <mergeCell ref="FTA78:FTB78"/>
    <mergeCell ref="FTC78:FTD78"/>
    <mergeCell ref="FSK78:FSL78"/>
    <mergeCell ref="FSM78:FSN78"/>
    <mergeCell ref="FSO78:FSP78"/>
    <mergeCell ref="FSQ78:FSR78"/>
    <mergeCell ref="FSS78:FST78"/>
    <mergeCell ref="FVC78:FVD78"/>
    <mergeCell ref="FVE78:FVF78"/>
    <mergeCell ref="FVG78:FVH78"/>
    <mergeCell ref="FVI78:FVJ78"/>
    <mergeCell ref="FVK78:FVL78"/>
    <mergeCell ref="FUS78:FUT78"/>
    <mergeCell ref="FUU78:FUV78"/>
    <mergeCell ref="FUW78:FUX78"/>
    <mergeCell ref="FUY78:FUZ78"/>
    <mergeCell ref="FVA78:FVB78"/>
    <mergeCell ref="FUI78:FUJ78"/>
    <mergeCell ref="FUK78:FUL78"/>
    <mergeCell ref="FUM78:FUN78"/>
    <mergeCell ref="FUO78:FUP78"/>
    <mergeCell ref="FUQ78:FUR78"/>
    <mergeCell ref="FTY78:FTZ78"/>
    <mergeCell ref="FUA78:FUB78"/>
    <mergeCell ref="FUC78:FUD78"/>
    <mergeCell ref="FUE78:FUF78"/>
    <mergeCell ref="FUG78:FUH78"/>
    <mergeCell ref="FWQ78:FWR78"/>
    <mergeCell ref="FWS78:FWT78"/>
    <mergeCell ref="FWU78:FWV78"/>
    <mergeCell ref="FWW78:FWX78"/>
    <mergeCell ref="FWY78:FWZ78"/>
    <mergeCell ref="FWG78:FWH78"/>
    <mergeCell ref="FWI78:FWJ78"/>
    <mergeCell ref="FWK78:FWL78"/>
    <mergeCell ref="FWM78:FWN78"/>
    <mergeCell ref="FWO78:FWP78"/>
    <mergeCell ref="FVW78:FVX78"/>
    <mergeCell ref="FVY78:FVZ78"/>
    <mergeCell ref="FWA78:FWB78"/>
    <mergeCell ref="FWC78:FWD78"/>
    <mergeCell ref="FWE78:FWF78"/>
    <mergeCell ref="FVM78:FVN78"/>
    <mergeCell ref="FVO78:FVP78"/>
    <mergeCell ref="FVQ78:FVR78"/>
    <mergeCell ref="FVS78:FVT78"/>
    <mergeCell ref="FVU78:FVV78"/>
    <mergeCell ref="FYE78:FYF78"/>
    <mergeCell ref="FYG78:FYH78"/>
    <mergeCell ref="FYI78:FYJ78"/>
    <mergeCell ref="FYK78:FYL78"/>
    <mergeCell ref="FYM78:FYN78"/>
    <mergeCell ref="FXU78:FXV78"/>
    <mergeCell ref="FXW78:FXX78"/>
    <mergeCell ref="FXY78:FXZ78"/>
    <mergeCell ref="FYA78:FYB78"/>
    <mergeCell ref="FYC78:FYD78"/>
    <mergeCell ref="FXK78:FXL78"/>
    <mergeCell ref="FXM78:FXN78"/>
    <mergeCell ref="FXO78:FXP78"/>
    <mergeCell ref="FXQ78:FXR78"/>
    <mergeCell ref="FXS78:FXT78"/>
    <mergeCell ref="FXA78:FXB78"/>
    <mergeCell ref="FXC78:FXD78"/>
    <mergeCell ref="FXE78:FXF78"/>
    <mergeCell ref="FXG78:FXH78"/>
    <mergeCell ref="FXI78:FXJ78"/>
    <mergeCell ref="FZS78:FZT78"/>
    <mergeCell ref="FZU78:FZV78"/>
    <mergeCell ref="FZW78:FZX78"/>
    <mergeCell ref="FZY78:FZZ78"/>
    <mergeCell ref="GAA78:GAB78"/>
    <mergeCell ref="FZI78:FZJ78"/>
    <mergeCell ref="FZK78:FZL78"/>
    <mergeCell ref="FZM78:FZN78"/>
    <mergeCell ref="FZO78:FZP78"/>
    <mergeCell ref="FZQ78:FZR78"/>
    <mergeCell ref="FYY78:FYZ78"/>
    <mergeCell ref="FZA78:FZB78"/>
    <mergeCell ref="FZC78:FZD78"/>
    <mergeCell ref="FZE78:FZF78"/>
    <mergeCell ref="FZG78:FZH78"/>
    <mergeCell ref="FYO78:FYP78"/>
    <mergeCell ref="FYQ78:FYR78"/>
    <mergeCell ref="FYS78:FYT78"/>
    <mergeCell ref="FYU78:FYV78"/>
    <mergeCell ref="FYW78:FYX78"/>
    <mergeCell ref="GBG78:GBH78"/>
    <mergeCell ref="GBI78:GBJ78"/>
    <mergeCell ref="GBK78:GBL78"/>
    <mergeCell ref="GBM78:GBN78"/>
    <mergeCell ref="GBO78:GBP78"/>
    <mergeCell ref="GAW78:GAX78"/>
    <mergeCell ref="GAY78:GAZ78"/>
    <mergeCell ref="GBA78:GBB78"/>
    <mergeCell ref="GBC78:GBD78"/>
    <mergeCell ref="GBE78:GBF78"/>
    <mergeCell ref="GAM78:GAN78"/>
    <mergeCell ref="GAO78:GAP78"/>
    <mergeCell ref="GAQ78:GAR78"/>
    <mergeCell ref="GAS78:GAT78"/>
    <mergeCell ref="GAU78:GAV78"/>
    <mergeCell ref="GAC78:GAD78"/>
    <mergeCell ref="GAE78:GAF78"/>
    <mergeCell ref="GAG78:GAH78"/>
    <mergeCell ref="GAI78:GAJ78"/>
    <mergeCell ref="GAK78:GAL78"/>
    <mergeCell ref="GCU78:GCV78"/>
    <mergeCell ref="GCW78:GCX78"/>
    <mergeCell ref="GCY78:GCZ78"/>
    <mergeCell ref="GDA78:GDB78"/>
    <mergeCell ref="GDC78:GDD78"/>
    <mergeCell ref="GCK78:GCL78"/>
    <mergeCell ref="GCM78:GCN78"/>
    <mergeCell ref="GCO78:GCP78"/>
    <mergeCell ref="GCQ78:GCR78"/>
    <mergeCell ref="GCS78:GCT78"/>
    <mergeCell ref="GCA78:GCB78"/>
    <mergeCell ref="GCC78:GCD78"/>
    <mergeCell ref="GCE78:GCF78"/>
    <mergeCell ref="GCG78:GCH78"/>
    <mergeCell ref="GCI78:GCJ78"/>
    <mergeCell ref="GBQ78:GBR78"/>
    <mergeCell ref="GBS78:GBT78"/>
    <mergeCell ref="GBU78:GBV78"/>
    <mergeCell ref="GBW78:GBX78"/>
    <mergeCell ref="GBY78:GBZ78"/>
    <mergeCell ref="GEI78:GEJ78"/>
    <mergeCell ref="GEK78:GEL78"/>
    <mergeCell ref="GEM78:GEN78"/>
    <mergeCell ref="GEO78:GEP78"/>
    <mergeCell ref="GEQ78:GER78"/>
    <mergeCell ref="GDY78:GDZ78"/>
    <mergeCell ref="GEA78:GEB78"/>
    <mergeCell ref="GEC78:GED78"/>
    <mergeCell ref="GEE78:GEF78"/>
    <mergeCell ref="GEG78:GEH78"/>
    <mergeCell ref="GDO78:GDP78"/>
    <mergeCell ref="GDQ78:GDR78"/>
    <mergeCell ref="GDS78:GDT78"/>
    <mergeCell ref="GDU78:GDV78"/>
    <mergeCell ref="GDW78:GDX78"/>
    <mergeCell ref="GDE78:GDF78"/>
    <mergeCell ref="GDG78:GDH78"/>
    <mergeCell ref="GDI78:GDJ78"/>
    <mergeCell ref="GDK78:GDL78"/>
    <mergeCell ref="GDM78:GDN78"/>
    <mergeCell ref="GFW78:GFX78"/>
    <mergeCell ref="GFY78:GFZ78"/>
    <mergeCell ref="GGA78:GGB78"/>
    <mergeCell ref="GGC78:GGD78"/>
    <mergeCell ref="GGE78:GGF78"/>
    <mergeCell ref="GFM78:GFN78"/>
    <mergeCell ref="GFO78:GFP78"/>
    <mergeCell ref="GFQ78:GFR78"/>
    <mergeCell ref="GFS78:GFT78"/>
    <mergeCell ref="GFU78:GFV78"/>
    <mergeCell ref="GFC78:GFD78"/>
    <mergeCell ref="GFE78:GFF78"/>
    <mergeCell ref="GFG78:GFH78"/>
    <mergeCell ref="GFI78:GFJ78"/>
    <mergeCell ref="GFK78:GFL78"/>
    <mergeCell ref="GES78:GET78"/>
    <mergeCell ref="GEU78:GEV78"/>
    <mergeCell ref="GEW78:GEX78"/>
    <mergeCell ref="GEY78:GEZ78"/>
    <mergeCell ref="GFA78:GFB78"/>
    <mergeCell ref="GHK78:GHL78"/>
    <mergeCell ref="GHM78:GHN78"/>
    <mergeCell ref="GHO78:GHP78"/>
    <mergeCell ref="GHQ78:GHR78"/>
    <mergeCell ref="GHS78:GHT78"/>
    <mergeCell ref="GHA78:GHB78"/>
    <mergeCell ref="GHC78:GHD78"/>
    <mergeCell ref="GHE78:GHF78"/>
    <mergeCell ref="GHG78:GHH78"/>
    <mergeCell ref="GHI78:GHJ78"/>
    <mergeCell ref="GGQ78:GGR78"/>
    <mergeCell ref="GGS78:GGT78"/>
    <mergeCell ref="GGU78:GGV78"/>
    <mergeCell ref="GGW78:GGX78"/>
    <mergeCell ref="GGY78:GGZ78"/>
    <mergeCell ref="GGG78:GGH78"/>
    <mergeCell ref="GGI78:GGJ78"/>
    <mergeCell ref="GGK78:GGL78"/>
    <mergeCell ref="GGM78:GGN78"/>
    <mergeCell ref="GGO78:GGP78"/>
    <mergeCell ref="GIY78:GIZ78"/>
    <mergeCell ref="GJA78:GJB78"/>
    <mergeCell ref="GJC78:GJD78"/>
    <mergeCell ref="GJE78:GJF78"/>
    <mergeCell ref="GJG78:GJH78"/>
    <mergeCell ref="GIO78:GIP78"/>
    <mergeCell ref="GIQ78:GIR78"/>
    <mergeCell ref="GIS78:GIT78"/>
    <mergeCell ref="GIU78:GIV78"/>
    <mergeCell ref="GIW78:GIX78"/>
    <mergeCell ref="GIE78:GIF78"/>
    <mergeCell ref="GIG78:GIH78"/>
    <mergeCell ref="GII78:GIJ78"/>
    <mergeCell ref="GIK78:GIL78"/>
    <mergeCell ref="GIM78:GIN78"/>
    <mergeCell ref="GHU78:GHV78"/>
    <mergeCell ref="GHW78:GHX78"/>
    <mergeCell ref="GHY78:GHZ78"/>
    <mergeCell ref="GIA78:GIB78"/>
    <mergeCell ref="GIC78:GID78"/>
    <mergeCell ref="GKM78:GKN78"/>
    <mergeCell ref="GKO78:GKP78"/>
    <mergeCell ref="GKQ78:GKR78"/>
    <mergeCell ref="GKS78:GKT78"/>
    <mergeCell ref="GKU78:GKV78"/>
    <mergeCell ref="GKC78:GKD78"/>
    <mergeCell ref="GKE78:GKF78"/>
    <mergeCell ref="GKG78:GKH78"/>
    <mergeCell ref="GKI78:GKJ78"/>
    <mergeCell ref="GKK78:GKL78"/>
    <mergeCell ref="GJS78:GJT78"/>
    <mergeCell ref="GJU78:GJV78"/>
    <mergeCell ref="GJW78:GJX78"/>
    <mergeCell ref="GJY78:GJZ78"/>
    <mergeCell ref="GKA78:GKB78"/>
    <mergeCell ref="GJI78:GJJ78"/>
    <mergeCell ref="GJK78:GJL78"/>
    <mergeCell ref="GJM78:GJN78"/>
    <mergeCell ref="GJO78:GJP78"/>
    <mergeCell ref="GJQ78:GJR78"/>
    <mergeCell ref="GMA78:GMB78"/>
    <mergeCell ref="GMC78:GMD78"/>
    <mergeCell ref="GME78:GMF78"/>
    <mergeCell ref="GMG78:GMH78"/>
    <mergeCell ref="GMI78:GMJ78"/>
    <mergeCell ref="GLQ78:GLR78"/>
    <mergeCell ref="GLS78:GLT78"/>
    <mergeCell ref="GLU78:GLV78"/>
    <mergeCell ref="GLW78:GLX78"/>
    <mergeCell ref="GLY78:GLZ78"/>
    <mergeCell ref="GLG78:GLH78"/>
    <mergeCell ref="GLI78:GLJ78"/>
    <mergeCell ref="GLK78:GLL78"/>
    <mergeCell ref="GLM78:GLN78"/>
    <mergeCell ref="GLO78:GLP78"/>
    <mergeCell ref="GKW78:GKX78"/>
    <mergeCell ref="GKY78:GKZ78"/>
    <mergeCell ref="GLA78:GLB78"/>
    <mergeCell ref="GLC78:GLD78"/>
    <mergeCell ref="GLE78:GLF78"/>
    <mergeCell ref="GNO78:GNP78"/>
    <mergeCell ref="GNQ78:GNR78"/>
    <mergeCell ref="GNS78:GNT78"/>
    <mergeCell ref="GNU78:GNV78"/>
    <mergeCell ref="GNW78:GNX78"/>
    <mergeCell ref="GNE78:GNF78"/>
    <mergeCell ref="GNG78:GNH78"/>
    <mergeCell ref="GNI78:GNJ78"/>
    <mergeCell ref="GNK78:GNL78"/>
    <mergeCell ref="GNM78:GNN78"/>
    <mergeCell ref="GMU78:GMV78"/>
    <mergeCell ref="GMW78:GMX78"/>
    <mergeCell ref="GMY78:GMZ78"/>
    <mergeCell ref="GNA78:GNB78"/>
    <mergeCell ref="GNC78:GND78"/>
    <mergeCell ref="GMK78:GML78"/>
    <mergeCell ref="GMM78:GMN78"/>
    <mergeCell ref="GMO78:GMP78"/>
    <mergeCell ref="GMQ78:GMR78"/>
    <mergeCell ref="GMS78:GMT78"/>
    <mergeCell ref="GPC78:GPD78"/>
    <mergeCell ref="GPE78:GPF78"/>
    <mergeCell ref="GPG78:GPH78"/>
    <mergeCell ref="GPI78:GPJ78"/>
    <mergeCell ref="GPK78:GPL78"/>
    <mergeCell ref="GOS78:GOT78"/>
    <mergeCell ref="GOU78:GOV78"/>
    <mergeCell ref="GOW78:GOX78"/>
    <mergeCell ref="GOY78:GOZ78"/>
    <mergeCell ref="GPA78:GPB78"/>
    <mergeCell ref="GOI78:GOJ78"/>
    <mergeCell ref="GOK78:GOL78"/>
    <mergeCell ref="GOM78:GON78"/>
    <mergeCell ref="GOO78:GOP78"/>
    <mergeCell ref="GOQ78:GOR78"/>
    <mergeCell ref="GNY78:GNZ78"/>
    <mergeCell ref="GOA78:GOB78"/>
    <mergeCell ref="GOC78:GOD78"/>
    <mergeCell ref="GOE78:GOF78"/>
    <mergeCell ref="GOG78:GOH78"/>
    <mergeCell ref="GQQ78:GQR78"/>
    <mergeCell ref="GQS78:GQT78"/>
    <mergeCell ref="GQU78:GQV78"/>
    <mergeCell ref="GQW78:GQX78"/>
    <mergeCell ref="GQY78:GQZ78"/>
    <mergeCell ref="GQG78:GQH78"/>
    <mergeCell ref="GQI78:GQJ78"/>
    <mergeCell ref="GQK78:GQL78"/>
    <mergeCell ref="GQM78:GQN78"/>
    <mergeCell ref="GQO78:GQP78"/>
    <mergeCell ref="GPW78:GPX78"/>
    <mergeCell ref="GPY78:GPZ78"/>
    <mergeCell ref="GQA78:GQB78"/>
    <mergeCell ref="GQC78:GQD78"/>
    <mergeCell ref="GQE78:GQF78"/>
    <mergeCell ref="GPM78:GPN78"/>
    <mergeCell ref="GPO78:GPP78"/>
    <mergeCell ref="GPQ78:GPR78"/>
    <mergeCell ref="GPS78:GPT78"/>
    <mergeCell ref="GPU78:GPV78"/>
    <mergeCell ref="GSE78:GSF78"/>
    <mergeCell ref="GSG78:GSH78"/>
    <mergeCell ref="GSI78:GSJ78"/>
    <mergeCell ref="GSK78:GSL78"/>
    <mergeCell ref="GSM78:GSN78"/>
    <mergeCell ref="GRU78:GRV78"/>
    <mergeCell ref="GRW78:GRX78"/>
    <mergeCell ref="GRY78:GRZ78"/>
    <mergeCell ref="GSA78:GSB78"/>
    <mergeCell ref="GSC78:GSD78"/>
    <mergeCell ref="GRK78:GRL78"/>
    <mergeCell ref="GRM78:GRN78"/>
    <mergeCell ref="GRO78:GRP78"/>
    <mergeCell ref="GRQ78:GRR78"/>
    <mergeCell ref="GRS78:GRT78"/>
    <mergeCell ref="GRA78:GRB78"/>
    <mergeCell ref="GRC78:GRD78"/>
    <mergeCell ref="GRE78:GRF78"/>
    <mergeCell ref="GRG78:GRH78"/>
    <mergeCell ref="GRI78:GRJ78"/>
    <mergeCell ref="GTS78:GTT78"/>
    <mergeCell ref="GTU78:GTV78"/>
    <mergeCell ref="GTW78:GTX78"/>
    <mergeCell ref="GTY78:GTZ78"/>
    <mergeCell ref="GUA78:GUB78"/>
    <mergeCell ref="GTI78:GTJ78"/>
    <mergeCell ref="GTK78:GTL78"/>
    <mergeCell ref="GTM78:GTN78"/>
    <mergeCell ref="GTO78:GTP78"/>
    <mergeCell ref="GTQ78:GTR78"/>
    <mergeCell ref="GSY78:GSZ78"/>
    <mergeCell ref="GTA78:GTB78"/>
    <mergeCell ref="GTC78:GTD78"/>
    <mergeCell ref="GTE78:GTF78"/>
    <mergeCell ref="GTG78:GTH78"/>
    <mergeCell ref="GSO78:GSP78"/>
    <mergeCell ref="GSQ78:GSR78"/>
    <mergeCell ref="GSS78:GST78"/>
    <mergeCell ref="GSU78:GSV78"/>
    <mergeCell ref="GSW78:GSX78"/>
    <mergeCell ref="GVG78:GVH78"/>
    <mergeCell ref="GVI78:GVJ78"/>
    <mergeCell ref="GVK78:GVL78"/>
    <mergeCell ref="GVM78:GVN78"/>
    <mergeCell ref="GVO78:GVP78"/>
    <mergeCell ref="GUW78:GUX78"/>
    <mergeCell ref="GUY78:GUZ78"/>
    <mergeCell ref="GVA78:GVB78"/>
    <mergeCell ref="GVC78:GVD78"/>
    <mergeCell ref="GVE78:GVF78"/>
    <mergeCell ref="GUM78:GUN78"/>
    <mergeCell ref="GUO78:GUP78"/>
    <mergeCell ref="GUQ78:GUR78"/>
    <mergeCell ref="GUS78:GUT78"/>
    <mergeCell ref="GUU78:GUV78"/>
    <mergeCell ref="GUC78:GUD78"/>
    <mergeCell ref="GUE78:GUF78"/>
    <mergeCell ref="GUG78:GUH78"/>
    <mergeCell ref="GUI78:GUJ78"/>
    <mergeCell ref="GUK78:GUL78"/>
    <mergeCell ref="GWU78:GWV78"/>
    <mergeCell ref="GWW78:GWX78"/>
    <mergeCell ref="GWY78:GWZ78"/>
    <mergeCell ref="GXA78:GXB78"/>
    <mergeCell ref="GXC78:GXD78"/>
    <mergeCell ref="GWK78:GWL78"/>
    <mergeCell ref="GWM78:GWN78"/>
    <mergeCell ref="GWO78:GWP78"/>
    <mergeCell ref="GWQ78:GWR78"/>
    <mergeCell ref="GWS78:GWT78"/>
    <mergeCell ref="GWA78:GWB78"/>
    <mergeCell ref="GWC78:GWD78"/>
    <mergeCell ref="GWE78:GWF78"/>
    <mergeCell ref="GWG78:GWH78"/>
    <mergeCell ref="GWI78:GWJ78"/>
    <mergeCell ref="GVQ78:GVR78"/>
    <mergeCell ref="GVS78:GVT78"/>
    <mergeCell ref="GVU78:GVV78"/>
    <mergeCell ref="GVW78:GVX78"/>
    <mergeCell ref="GVY78:GVZ78"/>
    <mergeCell ref="GYI78:GYJ78"/>
    <mergeCell ref="GYK78:GYL78"/>
    <mergeCell ref="GYM78:GYN78"/>
    <mergeCell ref="GYO78:GYP78"/>
    <mergeCell ref="GYQ78:GYR78"/>
    <mergeCell ref="GXY78:GXZ78"/>
    <mergeCell ref="GYA78:GYB78"/>
    <mergeCell ref="GYC78:GYD78"/>
    <mergeCell ref="GYE78:GYF78"/>
    <mergeCell ref="GYG78:GYH78"/>
    <mergeCell ref="GXO78:GXP78"/>
    <mergeCell ref="GXQ78:GXR78"/>
    <mergeCell ref="GXS78:GXT78"/>
    <mergeCell ref="GXU78:GXV78"/>
    <mergeCell ref="GXW78:GXX78"/>
    <mergeCell ref="GXE78:GXF78"/>
    <mergeCell ref="GXG78:GXH78"/>
    <mergeCell ref="GXI78:GXJ78"/>
    <mergeCell ref="GXK78:GXL78"/>
    <mergeCell ref="GXM78:GXN78"/>
    <mergeCell ref="GZW78:GZX78"/>
    <mergeCell ref="GZY78:GZZ78"/>
    <mergeCell ref="HAA78:HAB78"/>
    <mergeCell ref="HAC78:HAD78"/>
    <mergeCell ref="HAE78:HAF78"/>
    <mergeCell ref="GZM78:GZN78"/>
    <mergeCell ref="GZO78:GZP78"/>
    <mergeCell ref="GZQ78:GZR78"/>
    <mergeCell ref="GZS78:GZT78"/>
    <mergeCell ref="GZU78:GZV78"/>
    <mergeCell ref="GZC78:GZD78"/>
    <mergeCell ref="GZE78:GZF78"/>
    <mergeCell ref="GZG78:GZH78"/>
    <mergeCell ref="GZI78:GZJ78"/>
    <mergeCell ref="GZK78:GZL78"/>
    <mergeCell ref="GYS78:GYT78"/>
    <mergeCell ref="GYU78:GYV78"/>
    <mergeCell ref="GYW78:GYX78"/>
    <mergeCell ref="GYY78:GYZ78"/>
    <mergeCell ref="GZA78:GZB78"/>
    <mergeCell ref="HBK78:HBL78"/>
    <mergeCell ref="HBM78:HBN78"/>
    <mergeCell ref="HBO78:HBP78"/>
    <mergeCell ref="HBQ78:HBR78"/>
    <mergeCell ref="HBS78:HBT78"/>
    <mergeCell ref="HBA78:HBB78"/>
    <mergeCell ref="HBC78:HBD78"/>
    <mergeCell ref="HBE78:HBF78"/>
    <mergeCell ref="HBG78:HBH78"/>
    <mergeCell ref="HBI78:HBJ78"/>
    <mergeCell ref="HAQ78:HAR78"/>
    <mergeCell ref="HAS78:HAT78"/>
    <mergeCell ref="HAU78:HAV78"/>
    <mergeCell ref="HAW78:HAX78"/>
    <mergeCell ref="HAY78:HAZ78"/>
    <mergeCell ref="HAG78:HAH78"/>
    <mergeCell ref="HAI78:HAJ78"/>
    <mergeCell ref="HAK78:HAL78"/>
    <mergeCell ref="HAM78:HAN78"/>
    <mergeCell ref="HAO78:HAP78"/>
    <mergeCell ref="HCY78:HCZ78"/>
    <mergeCell ref="HDA78:HDB78"/>
    <mergeCell ref="HDC78:HDD78"/>
    <mergeCell ref="HDE78:HDF78"/>
    <mergeCell ref="HDG78:HDH78"/>
    <mergeCell ref="HCO78:HCP78"/>
    <mergeCell ref="HCQ78:HCR78"/>
    <mergeCell ref="HCS78:HCT78"/>
    <mergeCell ref="HCU78:HCV78"/>
    <mergeCell ref="HCW78:HCX78"/>
    <mergeCell ref="HCE78:HCF78"/>
    <mergeCell ref="HCG78:HCH78"/>
    <mergeCell ref="HCI78:HCJ78"/>
    <mergeCell ref="HCK78:HCL78"/>
    <mergeCell ref="HCM78:HCN78"/>
    <mergeCell ref="HBU78:HBV78"/>
    <mergeCell ref="HBW78:HBX78"/>
    <mergeCell ref="HBY78:HBZ78"/>
    <mergeCell ref="HCA78:HCB78"/>
    <mergeCell ref="HCC78:HCD78"/>
    <mergeCell ref="HEM78:HEN78"/>
    <mergeCell ref="HEO78:HEP78"/>
    <mergeCell ref="HEQ78:HER78"/>
    <mergeCell ref="HES78:HET78"/>
    <mergeCell ref="HEU78:HEV78"/>
    <mergeCell ref="HEC78:HED78"/>
    <mergeCell ref="HEE78:HEF78"/>
    <mergeCell ref="HEG78:HEH78"/>
    <mergeCell ref="HEI78:HEJ78"/>
    <mergeCell ref="HEK78:HEL78"/>
    <mergeCell ref="HDS78:HDT78"/>
    <mergeCell ref="HDU78:HDV78"/>
    <mergeCell ref="HDW78:HDX78"/>
    <mergeCell ref="HDY78:HDZ78"/>
    <mergeCell ref="HEA78:HEB78"/>
    <mergeCell ref="HDI78:HDJ78"/>
    <mergeCell ref="HDK78:HDL78"/>
    <mergeCell ref="HDM78:HDN78"/>
    <mergeCell ref="HDO78:HDP78"/>
    <mergeCell ref="HDQ78:HDR78"/>
    <mergeCell ref="HGA78:HGB78"/>
    <mergeCell ref="HGC78:HGD78"/>
    <mergeCell ref="HGE78:HGF78"/>
    <mergeCell ref="HGG78:HGH78"/>
    <mergeCell ref="HGI78:HGJ78"/>
    <mergeCell ref="HFQ78:HFR78"/>
    <mergeCell ref="HFS78:HFT78"/>
    <mergeCell ref="HFU78:HFV78"/>
    <mergeCell ref="HFW78:HFX78"/>
    <mergeCell ref="HFY78:HFZ78"/>
    <mergeCell ref="HFG78:HFH78"/>
    <mergeCell ref="HFI78:HFJ78"/>
    <mergeCell ref="HFK78:HFL78"/>
    <mergeCell ref="HFM78:HFN78"/>
    <mergeCell ref="HFO78:HFP78"/>
    <mergeCell ref="HEW78:HEX78"/>
    <mergeCell ref="HEY78:HEZ78"/>
    <mergeCell ref="HFA78:HFB78"/>
    <mergeCell ref="HFC78:HFD78"/>
    <mergeCell ref="HFE78:HFF78"/>
    <mergeCell ref="HHO78:HHP78"/>
    <mergeCell ref="HHQ78:HHR78"/>
    <mergeCell ref="HHS78:HHT78"/>
    <mergeCell ref="HHU78:HHV78"/>
    <mergeCell ref="HHW78:HHX78"/>
    <mergeCell ref="HHE78:HHF78"/>
    <mergeCell ref="HHG78:HHH78"/>
    <mergeCell ref="HHI78:HHJ78"/>
    <mergeCell ref="HHK78:HHL78"/>
    <mergeCell ref="HHM78:HHN78"/>
    <mergeCell ref="HGU78:HGV78"/>
    <mergeCell ref="HGW78:HGX78"/>
    <mergeCell ref="HGY78:HGZ78"/>
    <mergeCell ref="HHA78:HHB78"/>
    <mergeCell ref="HHC78:HHD78"/>
    <mergeCell ref="HGK78:HGL78"/>
    <mergeCell ref="HGM78:HGN78"/>
    <mergeCell ref="HGO78:HGP78"/>
    <mergeCell ref="HGQ78:HGR78"/>
    <mergeCell ref="HGS78:HGT78"/>
    <mergeCell ref="HJC78:HJD78"/>
    <mergeCell ref="HJE78:HJF78"/>
    <mergeCell ref="HJG78:HJH78"/>
    <mergeCell ref="HJI78:HJJ78"/>
    <mergeCell ref="HJK78:HJL78"/>
    <mergeCell ref="HIS78:HIT78"/>
    <mergeCell ref="HIU78:HIV78"/>
    <mergeCell ref="HIW78:HIX78"/>
    <mergeCell ref="HIY78:HIZ78"/>
    <mergeCell ref="HJA78:HJB78"/>
    <mergeCell ref="HII78:HIJ78"/>
    <mergeCell ref="HIK78:HIL78"/>
    <mergeCell ref="HIM78:HIN78"/>
    <mergeCell ref="HIO78:HIP78"/>
    <mergeCell ref="HIQ78:HIR78"/>
    <mergeCell ref="HHY78:HHZ78"/>
    <mergeCell ref="HIA78:HIB78"/>
    <mergeCell ref="HIC78:HID78"/>
    <mergeCell ref="HIE78:HIF78"/>
    <mergeCell ref="HIG78:HIH78"/>
    <mergeCell ref="HKQ78:HKR78"/>
    <mergeCell ref="HKS78:HKT78"/>
    <mergeCell ref="HKU78:HKV78"/>
    <mergeCell ref="HKW78:HKX78"/>
    <mergeCell ref="HKY78:HKZ78"/>
    <mergeCell ref="HKG78:HKH78"/>
    <mergeCell ref="HKI78:HKJ78"/>
    <mergeCell ref="HKK78:HKL78"/>
    <mergeCell ref="HKM78:HKN78"/>
    <mergeCell ref="HKO78:HKP78"/>
    <mergeCell ref="HJW78:HJX78"/>
    <mergeCell ref="HJY78:HJZ78"/>
    <mergeCell ref="HKA78:HKB78"/>
    <mergeCell ref="HKC78:HKD78"/>
    <mergeCell ref="HKE78:HKF78"/>
    <mergeCell ref="HJM78:HJN78"/>
    <mergeCell ref="HJO78:HJP78"/>
    <mergeCell ref="HJQ78:HJR78"/>
    <mergeCell ref="HJS78:HJT78"/>
    <mergeCell ref="HJU78:HJV78"/>
    <mergeCell ref="HME78:HMF78"/>
    <mergeCell ref="HMG78:HMH78"/>
    <mergeCell ref="HMI78:HMJ78"/>
    <mergeCell ref="HMK78:HML78"/>
    <mergeCell ref="HMM78:HMN78"/>
    <mergeCell ref="HLU78:HLV78"/>
    <mergeCell ref="HLW78:HLX78"/>
    <mergeCell ref="HLY78:HLZ78"/>
    <mergeCell ref="HMA78:HMB78"/>
    <mergeCell ref="HMC78:HMD78"/>
    <mergeCell ref="HLK78:HLL78"/>
    <mergeCell ref="HLM78:HLN78"/>
    <mergeCell ref="HLO78:HLP78"/>
    <mergeCell ref="HLQ78:HLR78"/>
    <mergeCell ref="HLS78:HLT78"/>
    <mergeCell ref="HLA78:HLB78"/>
    <mergeCell ref="HLC78:HLD78"/>
    <mergeCell ref="HLE78:HLF78"/>
    <mergeCell ref="HLG78:HLH78"/>
    <mergeCell ref="HLI78:HLJ78"/>
    <mergeCell ref="HNS78:HNT78"/>
    <mergeCell ref="HNU78:HNV78"/>
    <mergeCell ref="HNW78:HNX78"/>
    <mergeCell ref="HNY78:HNZ78"/>
    <mergeCell ref="HOA78:HOB78"/>
    <mergeCell ref="HNI78:HNJ78"/>
    <mergeCell ref="HNK78:HNL78"/>
    <mergeCell ref="HNM78:HNN78"/>
    <mergeCell ref="HNO78:HNP78"/>
    <mergeCell ref="HNQ78:HNR78"/>
    <mergeCell ref="HMY78:HMZ78"/>
    <mergeCell ref="HNA78:HNB78"/>
    <mergeCell ref="HNC78:HND78"/>
    <mergeCell ref="HNE78:HNF78"/>
    <mergeCell ref="HNG78:HNH78"/>
    <mergeCell ref="HMO78:HMP78"/>
    <mergeCell ref="HMQ78:HMR78"/>
    <mergeCell ref="HMS78:HMT78"/>
    <mergeCell ref="HMU78:HMV78"/>
    <mergeCell ref="HMW78:HMX78"/>
    <mergeCell ref="HPG78:HPH78"/>
    <mergeCell ref="HPI78:HPJ78"/>
    <mergeCell ref="HPK78:HPL78"/>
    <mergeCell ref="HPM78:HPN78"/>
    <mergeCell ref="HPO78:HPP78"/>
    <mergeCell ref="HOW78:HOX78"/>
    <mergeCell ref="HOY78:HOZ78"/>
    <mergeCell ref="HPA78:HPB78"/>
    <mergeCell ref="HPC78:HPD78"/>
    <mergeCell ref="HPE78:HPF78"/>
    <mergeCell ref="HOM78:HON78"/>
    <mergeCell ref="HOO78:HOP78"/>
    <mergeCell ref="HOQ78:HOR78"/>
    <mergeCell ref="HOS78:HOT78"/>
    <mergeCell ref="HOU78:HOV78"/>
    <mergeCell ref="HOC78:HOD78"/>
    <mergeCell ref="HOE78:HOF78"/>
    <mergeCell ref="HOG78:HOH78"/>
    <mergeCell ref="HOI78:HOJ78"/>
    <mergeCell ref="HOK78:HOL78"/>
    <mergeCell ref="HQU78:HQV78"/>
    <mergeCell ref="HQW78:HQX78"/>
    <mergeCell ref="HQY78:HQZ78"/>
    <mergeCell ref="HRA78:HRB78"/>
    <mergeCell ref="HRC78:HRD78"/>
    <mergeCell ref="HQK78:HQL78"/>
    <mergeCell ref="HQM78:HQN78"/>
    <mergeCell ref="HQO78:HQP78"/>
    <mergeCell ref="HQQ78:HQR78"/>
    <mergeCell ref="HQS78:HQT78"/>
    <mergeCell ref="HQA78:HQB78"/>
    <mergeCell ref="HQC78:HQD78"/>
    <mergeCell ref="HQE78:HQF78"/>
    <mergeCell ref="HQG78:HQH78"/>
    <mergeCell ref="HQI78:HQJ78"/>
    <mergeCell ref="HPQ78:HPR78"/>
    <mergeCell ref="HPS78:HPT78"/>
    <mergeCell ref="HPU78:HPV78"/>
    <mergeCell ref="HPW78:HPX78"/>
    <mergeCell ref="HPY78:HPZ78"/>
    <mergeCell ref="HSI78:HSJ78"/>
    <mergeCell ref="HSK78:HSL78"/>
    <mergeCell ref="HSM78:HSN78"/>
    <mergeCell ref="HSO78:HSP78"/>
    <mergeCell ref="HSQ78:HSR78"/>
    <mergeCell ref="HRY78:HRZ78"/>
    <mergeCell ref="HSA78:HSB78"/>
    <mergeCell ref="HSC78:HSD78"/>
    <mergeCell ref="HSE78:HSF78"/>
    <mergeCell ref="HSG78:HSH78"/>
    <mergeCell ref="HRO78:HRP78"/>
    <mergeCell ref="HRQ78:HRR78"/>
    <mergeCell ref="HRS78:HRT78"/>
    <mergeCell ref="HRU78:HRV78"/>
    <mergeCell ref="HRW78:HRX78"/>
    <mergeCell ref="HRE78:HRF78"/>
    <mergeCell ref="HRG78:HRH78"/>
    <mergeCell ref="HRI78:HRJ78"/>
    <mergeCell ref="HRK78:HRL78"/>
    <mergeCell ref="HRM78:HRN78"/>
    <mergeCell ref="HTW78:HTX78"/>
    <mergeCell ref="HTY78:HTZ78"/>
    <mergeCell ref="HUA78:HUB78"/>
    <mergeCell ref="HUC78:HUD78"/>
    <mergeCell ref="HUE78:HUF78"/>
    <mergeCell ref="HTM78:HTN78"/>
    <mergeCell ref="HTO78:HTP78"/>
    <mergeCell ref="HTQ78:HTR78"/>
    <mergeCell ref="HTS78:HTT78"/>
    <mergeCell ref="HTU78:HTV78"/>
    <mergeCell ref="HTC78:HTD78"/>
    <mergeCell ref="HTE78:HTF78"/>
    <mergeCell ref="HTG78:HTH78"/>
    <mergeCell ref="HTI78:HTJ78"/>
    <mergeCell ref="HTK78:HTL78"/>
    <mergeCell ref="HSS78:HST78"/>
    <mergeCell ref="HSU78:HSV78"/>
    <mergeCell ref="HSW78:HSX78"/>
    <mergeCell ref="HSY78:HSZ78"/>
    <mergeCell ref="HTA78:HTB78"/>
    <mergeCell ref="HVK78:HVL78"/>
    <mergeCell ref="HVM78:HVN78"/>
    <mergeCell ref="HVO78:HVP78"/>
    <mergeCell ref="HVQ78:HVR78"/>
    <mergeCell ref="HVS78:HVT78"/>
    <mergeCell ref="HVA78:HVB78"/>
    <mergeCell ref="HVC78:HVD78"/>
    <mergeCell ref="HVE78:HVF78"/>
    <mergeCell ref="HVG78:HVH78"/>
    <mergeCell ref="HVI78:HVJ78"/>
    <mergeCell ref="HUQ78:HUR78"/>
    <mergeCell ref="HUS78:HUT78"/>
    <mergeCell ref="HUU78:HUV78"/>
    <mergeCell ref="HUW78:HUX78"/>
    <mergeCell ref="HUY78:HUZ78"/>
    <mergeCell ref="HUG78:HUH78"/>
    <mergeCell ref="HUI78:HUJ78"/>
    <mergeCell ref="HUK78:HUL78"/>
    <mergeCell ref="HUM78:HUN78"/>
    <mergeCell ref="HUO78:HUP78"/>
    <mergeCell ref="HWY78:HWZ78"/>
    <mergeCell ref="HXA78:HXB78"/>
    <mergeCell ref="HXC78:HXD78"/>
    <mergeCell ref="HXE78:HXF78"/>
    <mergeCell ref="HXG78:HXH78"/>
    <mergeCell ref="HWO78:HWP78"/>
    <mergeCell ref="HWQ78:HWR78"/>
    <mergeCell ref="HWS78:HWT78"/>
    <mergeCell ref="HWU78:HWV78"/>
    <mergeCell ref="HWW78:HWX78"/>
    <mergeCell ref="HWE78:HWF78"/>
    <mergeCell ref="HWG78:HWH78"/>
    <mergeCell ref="HWI78:HWJ78"/>
    <mergeCell ref="HWK78:HWL78"/>
    <mergeCell ref="HWM78:HWN78"/>
    <mergeCell ref="HVU78:HVV78"/>
    <mergeCell ref="HVW78:HVX78"/>
    <mergeCell ref="HVY78:HVZ78"/>
    <mergeCell ref="HWA78:HWB78"/>
    <mergeCell ref="HWC78:HWD78"/>
    <mergeCell ref="HYM78:HYN78"/>
    <mergeCell ref="HYO78:HYP78"/>
    <mergeCell ref="HYQ78:HYR78"/>
    <mergeCell ref="HYS78:HYT78"/>
    <mergeCell ref="HYU78:HYV78"/>
    <mergeCell ref="HYC78:HYD78"/>
    <mergeCell ref="HYE78:HYF78"/>
    <mergeCell ref="HYG78:HYH78"/>
    <mergeCell ref="HYI78:HYJ78"/>
    <mergeCell ref="HYK78:HYL78"/>
    <mergeCell ref="HXS78:HXT78"/>
    <mergeCell ref="HXU78:HXV78"/>
    <mergeCell ref="HXW78:HXX78"/>
    <mergeCell ref="HXY78:HXZ78"/>
    <mergeCell ref="HYA78:HYB78"/>
    <mergeCell ref="HXI78:HXJ78"/>
    <mergeCell ref="HXK78:HXL78"/>
    <mergeCell ref="HXM78:HXN78"/>
    <mergeCell ref="HXO78:HXP78"/>
    <mergeCell ref="HXQ78:HXR78"/>
    <mergeCell ref="IAA78:IAB78"/>
    <mergeCell ref="IAC78:IAD78"/>
    <mergeCell ref="IAE78:IAF78"/>
    <mergeCell ref="IAG78:IAH78"/>
    <mergeCell ref="IAI78:IAJ78"/>
    <mergeCell ref="HZQ78:HZR78"/>
    <mergeCell ref="HZS78:HZT78"/>
    <mergeCell ref="HZU78:HZV78"/>
    <mergeCell ref="HZW78:HZX78"/>
    <mergeCell ref="HZY78:HZZ78"/>
    <mergeCell ref="HZG78:HZH78"/>
    <mergeCell ref="HZI78:HZJ78"/>
    <mergeCell ref="HZK78:HZL78"/>
    <mergeCell ref="HZM78:HZN78"/>
    <mergeCell ref="HZO78:HZP78"/>
    <mergeCell ref="HYW78:HYX78"/>
    <mergeCell ref="HYY78:HYZ78"/>
    <mergeCell ref="HZA78:HZB78"/>
    <mergeCell ref="HZC78:HZD78"/>
    <mergeCell ref="HZE78:HZF78"/>
    <mergeCell ref="IBO78:IBP78"/>
    <mergeCell ref="IBQ78:IBR78"/>
    <mergeCell ref="IBS78:IBT78"/>
    <mergeCell ref="IBU78:IBV78"/>
    <mergeCell ref="IBW78:IBX78"/>
    <mergeCell ref="IBE78:IBF78"/>
    <mergeCell ref="IBG78:IBH78"/>
    <mergeCell ref="IBI78:IBJ78"/>
    <mergeCell ref="IBK78:IBL78"/>
    <mergeCell ref="IBM78:IBN78"/>
    <mergeCell ref="IAU78:IAV78"/>
    <mergeCell ref="IAW78:IAX78"/>
    <mergeCell ref="IAY78:IAZ78"/>
    <mergeCell ref="IBA78:IBB78"/>
    <mergeCell ref="IBC78:IBD78"/>
    <mergeCell ref="IAK78:IAL78"/>
    <mergeCell ref="IAM78:IAN78"/>
    <mergeCell ref="IAO78:IAP78"/>
    <mergeCell ref="IAQ78:IAR78"/>
    <mergeCell ref="IAS78:IAT78"/>
    <mergeCell ref="IDC78:IDD78"/>
    <mergeCell ref="IDE78:IDF78"/>
    <mergeCell ref="IDG78:IDH78"/>
    <mergeCell ref="IDI78:IDJ78"/>
    <mergeCell ref="IDK78:IDL78"/>
    <mergeCell ref="ICS78:ICT78"/>
    <mergeCell ref="ICU78:ICV78"/>
    <mergeCell ref="ICW78:ICX78"/>
    <mergeCell ref="ICY78:ICZ78"/>
    <mergeCell ref="IDA78:IDB78"/>
    <mergeCell ref="ICI78:ICJ78"/>
    <mergeCell ref="ICK78:ICL78"/>
    <mergeCell ref="ICM78:ICN78"/>
    <mergeCell ref="ICO78:ICP78"/>
    <mergeCell ref="ICQ78:ICR78"/>
    <mergeCell ref="IBY78:IBZ78"/>
    <mergeCell ref="ICA78:ICB78"/>
    <mergeCell ref="ICC78:ICD78"/>
    <mergeCell ref="ICE78:ICF78"/>
    <mergeCell ref="ICG78:ICH78"/>
    <mergeCell ref="IEQ78:IER78"/>
    <mergeCell ref="IES78:IET78"/>
    <mergeCell ref="IEU78:IEV78"/>
    <mergeCell ref="IEW78:IEX78"/>
    <mergeCell ref="IEY78:IEZ78"/>
    <mergeCell ref="IEG78:IEH78"/>
    <mergeCell ref="IEI78:IEJ78"/>
    <mergeCell ref="IEK78:IEL78"/>
    <mergeCell ref="IEM78:IEN78"/>
    <mergeCell ref="IEO78:IEP78"/>
    <mergeCell ref="IDW78:IDX78"/>
    <mergeCell ref="IDY78:IDZ78"/>
    <mergeCell ref="IEA78:IEB78"/>
    <mergeCell ref="IEC78:IED78"/>
    <mergeCell ref="IEE78:IEF78"/>
    <mergeCell ref="IDM78:IDN78"/>
    <mergeCell ref="IDO78:IDP78"/>
    <mergeCell ref="IDQ78:IDR78"/>
    <mergeCell ref="IDS78:IDT78"/>
    <mergeCell ref="IDU78:IDV78"/>
    <mergeCell ref="IGE78:IGF78"/>
    <mergeCell ref="IGG78:IGH78"/>
    <mergeCell ref="IGI78:IGJ78"/>
    <mergeCell ref="IGK78:IGL78"/>
    <mergeCell ref="IGM78:IGN78"/>
    <mergeCell ref="IFU78:IFV78"/>
    <mergeCell ref="IFW78:IFX78"/>
    <mergeCell ref="IFY78:IFZ78"/>
    <mergeCell ref="IGA78:IGB78"/>
    <mergeCell ref="IGC78:IGD78"/>
    <mergeCell ref="IFK78:IFL78"/>
    <mergeCell ref="IFM78:IFN78"/>
    <mergeCell ref="IFO78:IFP78"/>
    <mergeCell ref="IFQ78:IFR78"/>
    <mergeCell ref="IFS78:IFT78"/>
    <mergeCell ref="IFA78:IFB78"/>
    <mergeCell ref="IFC78:IFD78"/>
    <mergeCell ref="IFE78:IFF78"/>
    <mergeCell ref="IFG78:IFH78"/>
    <mergeCell ref="IFI78:IFJ78"/>
    <mergeCell ref="IHS78:IHT78"/>
    <mergeCell ref="IHU78:IHV78"/>
    <mergeCell ref="IHW78:IHX78"/>
    <mergeCell ref="IHY78:IHZ78"/>
    <mergeCell ref="IIA78:IIB78"/>
    <mergeCell ref="IHI78:IHJ78"/>
    <mergeCell ref="IHK78:IHL78"/>
    <mergeCell ref="IHM78:IHN78"/>
    <mergeCell ref="IHO78:IHP78"/>
    <mergeCell ref="IHQ78:IHR78"/>
    <mergeCell ref="IGY78:IGZ78"/>
    <mergeCell ref="IHA78:IHB78"/>
    <mergeCell ref="IHC78:IHD78"/>
    <mergeCell ref="IHE78:IHF78"/>
    <mergeCell ref="IHG78:IHH78"/>
    <mergeCell ref="IGO78:IGP78"/>
    <mergeCell ref="IGQ78:IGR78"/>
    <mergeCell ref="IGS78:IGT78"/>
    <mergeCell ref="IGU78:IGV78"/>
    <mergeCell ref="IGW78:IGX78"/>
    <mergeCell ref="IJG78:IJH78"/>
    <mergeCell ref="IJI78:IJJ78"/>
    <mergeCell ref="IJK78:IJL78"/>
    <mergeCell ref="IJM78:IJN78"/>
    <mergeCell ref="IJO78:IJP78"/>
    <mergeCell ref="IIW78:IIX78"/>
    <mergeCell ref="IIY78:IIZ78"/>
    <mergeCell ref="IJA78:IJB78"/>
    <mergeCell ref="IJC78:IJD78"/>
    <mergeCell ref="IJE78:IJF78"/>
    <mergeCell ref="IIM78:IIN78"/>
    <mergeCell ref="IIO78:IIP78"/>
    <mergeCell ref="IIQ78:IIR78"/>
    <mergeCell ref="IIS78:IIT78"/>
    <mergeCell ref="IIU78:IIV78"/>
    <mergeCell ref="IIC78:IID78"/>
    <mergeCell ref="IIE78:IIF78"/>
    <mergeCell ref="IIG78:IIH78"/>
    <mergeCell ref="III78:IIJ78"/>
    <mergeCell ref="IIK78:IIL78"/>
    <mergeCell ref="IKU78:IKV78"/>
    <mergeCell ref="IKW78:IKX78"/>
    <mergeCell ref="IKY78:IKZ78"/>
    <mergeCell ref="ILA78:ILB78"/>
    <mergeCell ref="ILC78:ILD78"/>
    <mergeCell ref="IKK78:IKL78"/>
    <mergeCell ref="IKM78:IKN78"/>
    <mergeCell ref="IKO78:IKP78"/>
    <mergeCell ref="IKQ78:IKR78"/>
    <mergeCell ref="IKS78:IKT78"/>
    <mergeCell ref="IKA78:IKB78"/>
    <mergeCell ref="IKC78:IKD78"/>
    <mergeCell ref="IKE78:IKF78"/>
    <mergeCell ref="IKG78:IKH78"/>
    <mergeCell ref="IKI78:IKJ78"/>
    <mergeCell ref="IJQ78:IJR78"/>
    <mergeCell ref="IJS78:IJT78"/>
    <mergeCell ref="IJU78:IJV78"/>
    <mergeCell ref="IJW78:IJX78"/>
    <mergeCell ref="IJY78:IJZ78"/>
    <mergeCell ref="IMI78:IMJ78"/>
    <mergeCell ref="IMK78:IML78"/>
    <mergeCell ref="IMM78:IMN78"/>
    <mergeCell ref="IMO78:IMP78"/>
    <mergeCell ref="IMQ78:IMR78"/>
    <mergeCell ref="ILY78:ILZ78"/>
    <mergeCell ref="IMA78:IMB78"/>
    <mergeCell ref="IMC78:IMD78"/>
    <mergeCell ref="IME78:IMF78"/>
    <mergeCell ref="IMG78:IMH78"/>
    <mergeCell ref="ILO78:ILP78"/>
    <mergeCell ref="ILQ78:ILR78"/>
    <mergeCell ref="ILS78:ILT78"/>
    <mergeCell ref="ILU78:ILV78"/>
    <mergeCell ref="ILW78:ILX78"/>
    <mergeCell ref="ILE78:ILF78"/>
    <mergeCell ref="ILG78:ILH78"/>
    <mergeCell ref="ILI78:ILJ78"/>
    <mergeCell ref="ILK78:ILL78"/>
    <mergeCell ref="ILM78:ILN78"/>
    <mergeCell ref="INW78:INX78"/>
    <mergeCell ref="INY78:INZ78"/>
    <mergeCell ref="IOA78:IOB78"/>
    <mergeCell ref="IOC78:IOD78"/>
    <mergeCell ref="IOE78:IOF78"/>
    <mergeCell ref="INM78:INN78"/>
    <mergeCell ref="INO78:INP78"/>
    <mergeCell ref="INQ78:INR78"/>
    <mergeCell ref="INS78:INT78"/>
    <mergeCell ref="INU78:INV78"/>
    <mergeCell ref="INC78:IND78"/>
    <mergeCell ref="INE78:INF78"/>
    <mergeCell ref="ING78:INH78"/>
    <mergeCell ref="INI78:INJ78"/>
    <mergeCell ref="INK78:INL78"/>
    <mergeCell ref="IMS78:IMT78"/>
    <mergeCell ref="IMU78:IMV78"/>
    <mergeCell ref="IMW78:IMX78"/>
    <mergeCell ref="IMY78:IMZ78"/>
    <mergeCell ref="INA78:INB78"/>
    <mergeCell ref="IPK78:IPL78"/>
    <mergeCell ref="IPM78:IPN78"/>
    <mergeCell ref="IPO78:IPP78"/>
    <mergeCell ref="IPQ78:IPR78"/>
    <mergeCell ref="IPS78:IPT78"/>
    <mergeCell ref="IPA78:IPB78"/>
    <mergeCell ref="IPC78:IPD78"/>
    <mergeCell ref="IPE78:IPF78"/>
    <mergeCell ref="IPG78:IPH78"/>
    <mergeCell ref="IPI78:IPJ78"/>
    <mergeCell ref="IOQ78:IOR78"/>
    <mergeCell ref="IOS78:IOT78"/>
    <mergeCell ref="IOU78:IOV78"/>
    <mergeCell ref="IOW78:IOX78"/>
    <mergeCell ref="IOY78:IOZ78"/>
    <mergeCell ref="IOG78:IOH78"/>
    <mergeCell ref="IOI78:IOJ78"/>
    <mergeCell ref="IOK78:IOL78"/>
    <mergeCell ref="IOM78:ION78"/>
    <mergeCell ref="IOO78:IOP78"/>
    <mergeCell ref="IQY78:IQZ78"/>
    <mergeCell ref="IRA78:IRB78"/>
    <mergeCell ref="IRC78:IRD78"/>
    <mergeCell ref="IRE78:IRF78"/>
    <mergeCell ref="IRG78:IRH78"/>
    <mergeCell ref="IQO78:IQP78"/>
    <mergeCell ref="IQQ78:IQR78"/>
    <mergeCell ref="IQS78:IQT78"/>
    <mergeCell ref="IQU78:IQV78"/>
    <mergeCell ref="IQW78:IQX78"/>
    <mergeCell ref="IQE78:IQF78"/>
    <mergeCell ref="IQG78:IQH78"/>
    <mergeCell ref="IQI78:IQJ78"/>
    <mergeCell ref="IQK78:IQL78"/>
    <mergeCell ref="IQM78:IQN78"/>
    <mergeCell ref="IPU78:IPV78"/>
    <mergeCell ref="IPW78:IPX78"/>
    <mergeCell ref="IPY78:IPZ78"/>
    <mergeCell ref="IQA78:IQB78"/>
    <mergeCell ref="IQC78:IQD78"/>
    <mergeCell ref="ISM78:ISN78"/>
    <mergeCell ref="ISO78:ISP78"/>
    <mergeCell ref="ISQ78:ISR78"/>
    <mergeCell ref="ISS78:IST78"/>
    <mergeCell ref="ISU78:ISV78"/>
    <mergeCell ref="ISC78:ISD78"/>
    <mergeCell ref="ISE78:ISF78"/>
    <mergeCell ref="ISG78:ISH78"/>
    <mergeCell ref="ISI78:ISJ78"/>
    <mergeCell ref="ISK78:ISL78"/>
    <mergeCell ref="IRS78:IRT78"/>
    <mergeCell ref="IRU78:IRV78"/>
    <mergeCell ref="IRW78:IRX78"/>
    <mergeCell ref="IRY78:IRZ78"/>
    <mergeCell ref="ISA78:ISB78"/>
    <mergeCell ref="IRI78:IRJ78"/>
    <mergeCell ref="IRK78:IRL78"/>
    <mergeCell ref="IRM78:IRN78"/>
    <mergeCell ref="IRO78:IRP78"/>
    <mergeCell ref="IRQ78:IRR78"/>
    <mergeCell ref="IUA78:IUB78"/>
    <mergeCell ref="IUC78:IUD78"/>
    <mergeCell ref="IUE78:IUF78"/>
    <mergeCell ref="IUG78:IUH78"/>
    <mergeCell ref="IUI78:IUJ78"/>
    <mergeCell ref="ITQ78:ITR78"/>
    <mergeCell ref="ITS78:ITT78"/>
    <mergeCell ref="ITU78:ITV78"/>
    <mergeCell ref="ITW78:ITX78"/>
    <mergeCell ref="ITY78:ITZ78"/>
    <mergeCell ref="ITG78:ITH78"/>
    <mergeCell ref="ITI78:ITJ78"/>
    <mergeCell ref="ITK78:ITL78"/>
    <mergeCell ref="ITM78:ITN78"/>
    <mergeCell ref="ITO78:ITP78"/>
    <mergeCell ref="ISW78:ISX78"/>
    <mergeCell ref="ISY78:ISZ78"/>
    <mergeCell ref="ITA78:ITB78"/>
    <mergeCell ref="ITC78:ITD78"/>
    <mergeCell ref="ITE78:ITF78"/>
    <mergeCell ref="IVO78:IVP78"/>
    <mergeCell ref="IVQ78:IVR78"/>
    <mergeCell ref="IVS78:IVT78"/>
    <mergeCell ref="IVU78:IVV78"/>
    <mergeCell ref="IVW78:IVX78"/>
    <mergeCell ref="IVE78:IVF78"/>
    <mergeCell ref="IVG78:IVH78"/>
    <mergeCell ref="IVI78:IVJ78"/>
    <mergeCell ref="IVK78:IVL78"/>
    <mergeCell ref="IVM78:IVN78"/>
    <mergeCell ref="IUU78:IUV78"/>
    <mergeCell ref="IUW78:IUX78"/>
    <mergeCell ref="IUY78:IUZ78"/>
    <mergeCell ref="IVA78:IVB78"/>
    <mergeCell ref="IVC78:IVD78"/>
    <mergeCell ref="IUK78:IUL78"/>
    <mergeCell ref="IUM78:IUN78"/>
    <mergeCell ref="IUO78:IUP78"/>
    <mergeCell ref="IUQ78:IUR78"/>
    <mergeCell ref="IUS78:IUT78"/>
    <mergeCell ref="IXC78:IXD78"/>
    <mergeCell ref="IXE78:IXF78"/>
    <mergeCell ref="IXG78:IXH78"/>
    <mergeCell ref="IXI78:IXJ78"/>
    <mergeCell ref="IXK78:IXL78"/>
    <mergeCell ref="IWS78:IWT78"/>
    <mergeCell ref="IWU78:IWV78"/>
    <mergeCell ref="IWW78:IWX78"/>
    <mergeCell ref="IWY78:IWZ78"/>
    <mergeCell ref="IXA78:IXB78"/>
    <mergeCell ref="IWI78:IWJ78"/>
    <mergeCell ref="IWK78:IWL78"/>
    <mergeCell ref="IWM78:IWN78"/>
    <mergeCell ref="IWO78:IWP78"/>
    <mergeCell ref="IWQ78:IWR78"/>
    <mergeCell ref="IVY78:IVZ78"/>
    <mergeCell ref="IWA78:IWB78"/>
    <mergeCell ref="IWC78:IWD78"/>
    <mergeCell ref="IWE78:IWF78"/>
    <mergeCell ref="IWG78:IWH78"/>
    <mergeCell ref="IYQ78:IYR78"/>
    <mergeCell ref="IYS78:IYT78"/>
    <mergeCell ref="IYU78:IYV78"/>
    <mergeCell ref="IYW78:IYX78"/>
    <mergeCell ref="IYY78:IYZ78"/>
    <mergeCell ref="IYG78:IYH78"/>
    <mergeCell ref="IYI78:IYJ78"/>
    <mergeCell ref="IYK78:IYL78"/>
    <mergeCell ref="IYM78:IYN78"/>
    <mergeCell ref="IYO78:IYP78"/>
    <mergeCell ref="IXW78:IXX78"/>
    <mergeCell ref="IXY78:IXZ78"/>
    <mergeCell ref="IYA78:IYB78"/>
    <mergeCell ref="IYC78:IYD78"/>
    <mergeCell ref="IYE78:IYF78"/>
    <mergeCell ref="IXM78:IXN78"/>
    <mergeCell ref="IXO78:IXP78"/>
    <mergeCell ref="IXQ78:IXR78"/>
    <mergeCell ref="IXS78:IXT78"/>
    <mergeCell ref="IXU78:IXV78"/>
    <mergeCell ref="JAE78:JAF78"/>
    <mergeCell ref="JAG78:JAH78"/>
    <mergeCell ref="JAI78:JAJ78"/>
    <mergeCell ref="JAK78:JAL78"/>
    <mergeCell ref="JAM78:JAN78"/>
    <mergeCell ref="IZU78:IZV78"/>
    <mergeCell ref="IZW78:IZX78"/>
    <mergeCell ref="IZY78:IZZ78"/>
    <mergeCell ref="JAA78:JAB78"/>
    <mergeCell ref="JAC78:JAD78"/>
    <mergeCell ref="IZK78:IZL78"/>
    <mergeCell ref="IZM78:IZN78"/>
    <mergeCell ref="IZO78:IZP78"/>
    <mergeCell ref="IZQ78:IZR78"/>
    <mergeCell ref="IZS78:IZT78"/>
    <mergeCell ref="IZA78:IZB78"/>
    <mergeCell ref="IZC78:IZD78"/>
    <mergeCell ref="IZE78:IZF78"/>
    <mergeCell ref="IZG78:IZH78"/>
    <mergeCell ref="IZI78:IZJ78"/>
    <mergeCell ref="JBS78:JBT78"/>
    <mergeCell ref="JBU78:JBV78"/>
    <mergeCell ref="JBW78:JBX78"/>
    <mergeCell ref="JBY78:JBZ78"/>
    <mergeCell ref="JCA78:JCB78"/>
    <mergeCell ref="JBI78:JBJ78"/>
    <mergeCell ref="JBK78:JBL78"/>
    <mergeCell ref="JBM78:JBN78"/>
    <mergeCell ref="JBO78:JBP78"/>
    <mergeCell ref="JBQ78:JBR78"/>
    <mergeCell ref="JAY78:JAZ78"/>
    <mergeCell ref="JBA78:JBB78"/>
    <mergeCell ref="JBC78:JBD78"/>
    <mergeCell ref="JBE78:JBF78"/>
    <mergeCell ref="JBG78:JBH78"/>
    <mergeCell ref="JAO78:JAP78"/>
    <mergeCell ref="JAQ78:JAR78"/>
    <mergeCell ref="JAS78:JAT78"/>
    <mergeCell ref="JAU78:JAV78"/>
    <mergeCell ref="JAW78:JAX78"/>
    <mergeCell ref="JDG78:JDH78"/>
    <mergeCell ref="JDI78:JDJ78"/>
    <mergeCell ref="JDK78:JDL78"/>
    <mergeCell ref="JDM78:JDN78"/>
    <mergeCell ref="JDO78:JDP78"/>
    <mergeCell ref="JCW78:JCX78"/>
    <mergeCell ref="JCY78:JCZ78"/>
    <mergeCell ref="JDA78:JDB78"/>
    <mergeCell ref="JDC78:JDD78"/>
    <mergeCell ref="JDE78:JDF78"/>
    <mergeCell ref="JCM78:JCN78"/>
    <mergeCell ref="JCO78:JCP78"/>
    <mergeCell ref="JCQ78:JCR78"/>
    <mergeCell ref="JCS78:JCT78"/>
    <mergeCell ref="JCU78:JCV78"/>
    <mergeCell ref="JCC78:JCD78"/>
    <mergeCell ref="JCE78:JCF78"/>
    <mergeCell ref="JCG78:JCH78"/>
    <mergeCell ref="JCI78:JCJ78"/>
    <mergeCell ref="JCK78:JCL78"/>
    <mergeCell ref="JEU78:JEV78"/>
    <mergeCell ref="JEW78:JEX78"/>
    <mergeCell ref="JEY78:JEZ78"/>
    <mergeCell ref="JFA78:JFB78"/>
    <mergeCell ref="JFC78:JFD78"/>
    <mergeCell ref="JEK78:JEL78"/>
    <mergeCell ref="JEM78:JEN78"/>
    <mergeCell ref="JEO78:JEP78"/>
    <mergeCell ref="JEQ78:JER78"/>
    <mergeCell ref="JES78:JET78"/>
    <mergeCell ref="JEA78:JEB78"/>
    <mergeCell ref="JEC78:JED78"/>
    <mergeCell ref="JEE78:JEF78"/>
    <mergeCell ref="JEG78:JEH78"/>
    <mergeCell ref="JEI78:JEJ78"/>
    <mergeCell ref="JDQ78:JDR78"/>
    <mergeCell ref="JDS78:JDT78"/>
    <mergeCell ref="JDU78:JDV78"/>
    <mergeCell ref="JDW78:JDX78"/>
    <mergeCell ref="JDY78:JDZ78"/>
    <mergeCell ref="JGI78:JGJ78"/>
    <mergeCell ref="JGK78:JGL78"/>
    <mergeCell ref="JGM78:JGN78"/>
    <mergeCell ref="JGO78:JGP78"/>
    <mergeCell ref="JGQ78:JGR78"/>
    <mergeCell ref="JFY78:JFZ78"/>
    <mergeCell ref="JGA78:JGB78"/>
    <mergeCell ref="JGC78:JGD78"/>
    <mergeCell ref="JGE78:JGF78"/>
    <mergeCell ref="JGG78:JGH78"/>
    <mergeCell ref="JFO78:JFP78"/>
    <mergeCell ref="JFQ78:JFR78"/>
    <mergeCell ref="JFS78:JFT78"/>
    <mergeCell ref="JFU78:JFV78"/>
    <mergeCell ref="JFW78:JFX78"/>
    <mergeCell ref="JFE78:JFF78"/>
    <mergeCell ref="JFG78:JFH78"/>
    <mergeCell ref="JFI78:JFJ78"/>
    <mergeCell ref="JFK78:JFL78"/>
    <mergeCell ref="JFM78:JFN78"/>
    <mergeCell ref="JHW78:JHX78"/>
    <mergeCell ref="JHY78:JHZ78"/>
    <mergeCell ref="JIA78:JIB78"/>
    <mergeCell ref="JIC78:JID78"/>
    <mergeCell ref="JIE78:JIF78"/>
    <mergeCell ref="JHM78:JHN78"/>
    <mergeCell ref="JHO78:JHP78"/>
    <mergeCell ref="JHQ78:JHR78"/>
    <mergeCell ref="JHS78:JHT78"/>
    <mergeCell ref="JHU78:JHV78"/>
    <mergeCell ref="JHC78:JHD78"/>
    <mergeCell ref="JHE78:JHF78"/>
    <mergeCell ref="JHG78:JHH78"/>
    <mergeCell ref="JHI78:JHJ78"/>
    <mergeCell ref="JHK78:JHL78"/>
    <mergeCell ref="JGS78:JGT78"/>
    <mergeCell ref="JGU78:JGV78"/>
    <mergeCell ref="JGW78:JGX78"/>
    <mergeCell ref="JGY78:JGZ78"/>
    <mergeCell ref="JHA78:JHB78"/>
    <mergeCell ref="JJK78:JJL78"/>
    <mergeCell ref="JJM78:JJN78"/>
    <mergeCell ref="JJO78:JJP78"/>
    <mergeCell ref="JJQ78:JJR78"/>
    <mergeCell ref="JJS78:JJT78"/>
    <mergeCell ref="JJA78:JJB78"/>
    <mergeCell ref="JJC78:JJD78"/>
    <mergeCell ref="JJE78:JJF78"/>
    <mergeCell ref="JJG78:JJH78"/>
    <mergeCell ref="JJI78:JJJ78"/>
    <mergeCell ref="JIQ78:JIR78"/>
    <mergeCell ref="JIS78:JIT78"/>
    <mergeCell ref="JIU78:JIV78"/>
    <mergeCell ref="JIW78:JIX78"/>
    <mergeCell ref="JIY78:JIZ78"/>
    <mergeCell ref="JIG78:JIH78"/>
    <mergeCell ref="JII78:JIJ78"/>
    <mergeCell ref="JIK78:JIL78"/>
    <mergeCell ref="JIM78:JIN78"/>
    <mergeCell ref="JIO78:JIP78"/>
    <mergeCell ref="JKY78:JKZ78"/>
    <mergeCell ref="JLA78:JLB78"/>
    <mergeCell ref="JLC78:JLD78"/>
    <mergeCell ref="JLE78:JLF78"/>
    <mergeCell ref="JLG78:JLH78"/>
    <mergeCell ref="JKO78:JKP78"/>
    <mergeCell ref="JKQ78:JKR78"/>
    <mergeCell ref="JKS78:JKT78"/>
    <mergeCell ref="JKU78:JKV78"/>
    <mergeCell ref="JKW78:JKX78"/>
    <mergeCell ref="JKE78:JKF78"/>
    <mergeCell ref="JKG78:JKH78"/>
    <mergeCell ref="JKI78:JKJ78"/>
    <mergeCell ref="JKK78:JKL78"/>
    <mergeCell ref="JKM78:JKN78"/>
    <mergeCell ref="JJU78:JJV78"/>
    <mergeCell ref="JJW78:JJX78"/>
    <mergeCell ref="JJY78:JJZ78"/>
    <mergeCell ref="JKA78:JKB78"/>
    <mergeCell ref="JKC78:JKD78"/>
    <mergeCell ref="JMM78:JMN78"/>
    <mergeCell ref="JMO78:JMP78"/>
    <mergeCell ref="JMQ78:JMR78"/>
    <mergeCell ref="JMS78:JMT78"/>
    <mergeCell ref="JMU78:JMV78"/>
    <mergeCell ref="JMC78:JMD78"/>
    <mergeCell ref="JME78:JMF78"/>
    <mergeCell ref="JMG78:JMH78"/>
    <mergeCell ref="JMI78:JMJ78"/>
    <mergeCell ref="JMK78:JML78"/>
    <mergeCell ref="JLS78:JLT78"/>
    <mergeCell ref="JLU78:JLV78"/>
    <mergeCell ref="JLW78:JLX78"/>
    <mergeCell ref="JLY78:JLZ78"/>
    <mergeCell ref="JMA78:JMB78"/>
    <mergeCell ref="JLI78:JLJ78"/>
    <mergeCell ref="JLK78:JLL78"/>
    <mergeCell ref="JLM78:JLN78"/>
    <mergeCell ref="JLO78:JLP78"/>
    <mergeCell ref="JLQ78:JLR78"/>
    <mergeCell ref="JOA78:JOB78"/>
    <mergeCell ref="JOC78:JOD78"/>
    <mergeCell ref="JOE78:JOF78"/>
    <mergeCell ref="JOG78:JOH78"/>
    <mergeCell ref="JOI78:JOJ78"/>
    <mergeCell ref="JNQ78:JNR78"/>
    <mergeCell ref="JNS78:JNT78"/>
    <mergeCell ref="JNU78:JNV78"/>
    <mergeCell ref="JNW78:JNX78"/>
    <mergeCell ref="JNY78:JNZ78"/>
    <mergeCell ref="JNG78:JNH78"/>
    <mergeCell ref="JNI78:JNJ78"/>
    <mergeCell ref="JNK78:JNL78"/>
    <mergeCell ref="JNM78:JNN78"/>
    <mergeCell ref="JNO78:JNP78"/>
    <mergeCell ref="JMW78:JMX78"/>
    <mergeCell ref="JMY78:JMZ78"/>
    <mergeCell ref="JNA78:JNB78"/>
    <mergeCell ref="JNC78:JND78"/>
    <mergeCell ref="JNE78:JNF78"/>
    <mergeCell ref="JPO78:JPP78"/>
    <mergeCell ref="JPQ78:JPR78"/>
    <mergeCell ref="JPS78:JPT78"/>
    <mergeCell ref="JPU78:JPV78"/>
    <mergeCell ref="JPW78:JPX78"/>
    <mergeCell ref="JPE78:JPF78"/>
    <mergeCell ref="JPG78:JPH78"/>
    <mergeCell ref="JPI78:JPJ78"/>
    <mergeCell ref="JPK78:JPL78"/>
    <mergeCell ref="JPM78:JPN78"/>
    <mergeCell ref="JOU78:JOV78"/>
    <mergeCell ref="JOW78:JOX78"/>
    <mergeCell ref="JOY78:JOZ78"/>
    <mergeCell ref="JPA78:JPB78"/>
    <mergeCell ref="JPC78:JPD78"/>
    <mergeCell ref="JOK78:JOL78"/>
    <mergeCell ref="JOM78:JON78"/>
    <mergeCell ref="JOO78:JOP78"/>
    <mergeCell ref="JOQ78:JOR78"/>
    <mergeCell ref="JOS78:JOT78"/>
    <mergeCell ref="JRC78:JRD78"/>
    <mergeCell ref="JRE78:JRF78"/>
    <mergeCell ref="JRG78:JRH78"/>
    <mergeCell ref="JRI78:JRJ78"/>
    <mergeCell ref="JRK78:JRL78"/>
    <mergeCell ref="JQS78:JQT78"/>
    <mergeCell ref="JQU78:JQV78"/>
    <mergeCell ref="JQW78:JQX78"/>
    <mergeCell ref="JQY78:JQZ78"/>
    <mergeCell ref="JRA78:JRB78"/>
    <mergeCell ref="JQI78:JQJ78"/>
    <mergeCell ref="JQK78:JQL78"/>
    <mergeCell ref="JQM78:JQN78"/>
    <mergeCell ref="JQO78:JQP78"/>
    <mergeCell ref="JQQ78:JQR78"/>
    <mergeCell ref="JPY78:JPZ78"/>
    <mergeCell ref="JQA78:JQB78"/>
    <mergeCell ref="JQC78:JQD78"/>
    <mergeCell ref="JQE78:JQF78"/>
    <mergeCell ref="JQG78:JQH78"/>
    <mergeCell ref="JSQ78:JSR78"/>
    <mergeCell ref="JSS78:JST78"/>
    <mergeCell ref="JSU78:JSV78"/>
    <mergeCell ref="JSW78:JSX78"/>
    <mergeCell ref="JSY78:JSZ78"/>
    <mergeCell ref="JSG78:JSH78"/>
    <mergeCell ref="JSI78:JSJ78"/>
    <mergeCell ref="JSK78:JSL78"/>
    <mergeCell ref="JSM78:JSN78"/>
    <mergeCell ref="JSO78:JSP78"/>
    <mergeCell ref="JRW78:JRX78"/>
    <mergeCell ref="JRY78:JRZ78"/>
    <mergeCell ref="JSA78:JSB78"/>
    <mergeCell ref="JSC78:JSD78"/>
    <mergeCell ref="JSE78:JSF78"/>
    <mergeCell ref="JRM78:JRN78"/>
    <mergeCell ref="JRO78:JRP78"/>
    <mergeCell ref="JRQ78:JRR78"/>
    <mergeCell ref="JRS78:JRT78"/>
    <mergeCell ref="JRU78:JRV78"/>
    <mergeCell ref="JUE78:JUF78"/>
    <mergeCell ref="JUG78:JUH78"/>
    <mergeCell ref="JUI78:JUJ78"/>
    <mergeCell ref="JUK78:JUL78"/>
    <mergeCell ref="JUM78:JUN78"/>
    <mergeCell ref="JTU78:JTV78"/>
    <mergeCell ref="JTW78:JTX78"/>
    <mergeCell ref="JTY78:JTZ78"/>
    <mergeCell ref="JUA78:JUB78"/>
    <mergeCell ref="JUC78:JUD78"/>
    <mergeCell ref="JTK78:JTL78"/>
    <mergeCell ref="JTM78:JTN78"/>
    <mergeCell ref="JTO78:JTP78"/>
    <mergeCell ref="JTQ78:JTR78"/>
    <mergeCell ref="JTS78:JTT78"/>
    <mergeCell ref="JTA78:JTB78"/>
    <mergeCell ref="JTC78:JTD78"/>
    <mergeCell ref="JTE78:JTF78"/>
    <mergeCell ref="JTG78:JTH78"/>
    <mergeCell ref="JTI78:JTJ78"/>
    <mergeCell ref="JVS78:JVT78"/>
    <mergeCell ref="JVU78:JVV78"/>
    <mergeCell ref="JVW78:JVX78"/>
    <mergeCell ref="JVY78:JVZ78"/>
    <mergeCell ref="JWA78:JWB78"/>
    <mergeCell ref="JVI78:JVJ78"/>
    <mergeCell ref="JVK78:JVL78"/>
    <mergeCell ref="JVM78:JVN78"/>
    <mergeCell ref="JVO78:JVP78"/>
    <mergeCell ref="JVQ78:JVR78"/>
    <mergeCell ref="JUY78:JUZ78"/>
    <mergeCell ref="JVA78:JVB78"/>
    <mergeCell ref="JVC78:JVD78"/>
    <mergeCell ref="JVE78:JVF78"/>
    <mergeCell ref="JVG78:JVH78"/>
    <mergeCell ref="JUO78:JUP78"/>
    <mergeCell ref="JUQ78:JUR78"/>
    <mergeCell ref="JUS78:JUT78"/>
    <mergeCell ref="JUU78:JUV78"/>
    <mergeCell ref="JUW78:JUX78"/>
    <mergeCell ref="JXG78:JXH78"/>
    <mergeCell ref="JXI78:JXJ78"/>
    <mergeCell ref="JXK78:JXL78"/>
    <mergeCell ref="JXM78:JXN78"/>
    <mergeCell ref="JXO78:JXP78"/>
    <mergeCell ref="JWW78:JWX78"/>
    <mergeCell ref="JWY78:JWZ78"/>
    <mergeCell ref="JXA78:JXB78"/>
    <mergeCell ref="JXC78:JXD78"/>
    <mergeCell ref="JXE78:JXF78"/>
    <mergeCell ref="JWM78:JWN78"/>
    <mergeCell ref="JWO78:JWP78"/>
    <mergeCell ref="JWQ78:JWR78"/>
    <mergeCell ref="JWS78:JWT78"/>
    <mergeCell ref="JWU78:JWV78"/>
    <mergeCell ref="JWC78:JWD78"/>
    <mergeCell ref="JWE78:JWF78"/>
    <mergeCell ref="JWG78:JWH78"/>
    <mergeCell ref="JWI78:JWJ78"/>
    <mergeCell ref="JWK78:JWL78"/>
    <mergeCell ref="JYU78:JYV78"/>
    <mergeCell ref="JYW78:JYX78"/>
    <mergeCell ref="JYY78:JYZ78"/>
    <mergeCell ref="JZA78:JZB78"/>
    <mergeCell ref="JZC78:JZD78"/>
    <mergeCell ref="JYK78:JYL78"/>
    <mergeCell ref="JYM78:JYN78"/>
    <mergeCell ref="JYO78:JYP78"/>
    <mergeCell ref="JYQ78:JYR78"/>
    <mergeCell ref="JYS78:JYT78"/>
    <mergeCell ref="JYA78:JYB78"/>
    <mergeCell ref="JYC78:JYD78"/>
    <mergeCell ref="JYE78:JYF78"/>
    <mergeCell ref="JYG78:JYH78"/>
    <mergeCell ref="JYI78:JYJ78"/>
    <mergeCell ref="JXQ78:JXR78"/>
    <mergeCell ref="JXS78:JXT78"/>
    <mergeCell ref="JXU78:JXV78"/>
    <mergeCell ref="JXW78:JXX78"/>
    <mergeCell ref="JXY78:JXZ78"/>
    <mergeCell ref="KAI78:KAJ78"/>
    <mergeCell ref="KAK78:KAL78"/>
    <mergeCell ref="KAM78:KAN78"/>
    <mergeCell ref="KAO78:KAP78"/>
    <mergeCell ref="KAQ78:KAR78"/>
    <mergeCell ref="JZY78:JZZ78"/>
    <mergeCell ref="KAA78:KAB78"/>
    <mergeCell ref="KAC78:KAD78"/>
    <mergeCell ref="KAE78:KAF78"/>
    <mergeCell ref="KAG78:KAH78"/>
    <mergeCell ref="JZO78:JZP78"/>
    <mergeCell ref="JZQ78:JZR78"/>
    <mergeCell ref="JZS78:JZT78"/>
    <mergeCell ref="JZU78:JZV78"/>
    <mergeCell ref="JZW78:JZX78"/>
    <mergeCell ref="JZE78:JZF78"/>
    <mergeCell ref="JZG78:JZH78"/>
    <mergeCell ref="JZI78:JZJ78"/>
    <mergeCell ref="JZK78:JZL78"/>
    <mergeCell ref="JZM78:JZN78"/>
    <mergeCell ref="KBW78:KBX78"/>
    <mergeCell ref="KBY78:KBZ78"/>
    <mergeCell ref="KCA78:KCB78"/>
    <mergeCell ref="KCC78:KCD78"/>
    <mergeCell ref="KCE78:KCF78"/>
    <mergeCell ref="KBM78:KBN78"/>
    <mergeCell ref="KBO78:KBP78"/>
    <mergeCell ref="KBQ78:KBR78"/>
    <mergeCell ref="KBS78:KBT78"/>
    <mergeCell ref="KBU78:KBV78"/>
    <mergeCell ref="KBC78:KBD78"/>
    <mergeCell ref="KBE78:KBF78"/>
    <mergeCell ref="KBG78:KBH78"/>
    <mergeCell ref="KBI78:KBJ78"/>
    <mergeCell ref="KBK78:KBL78"/>
    <mergeCell ref="KAS78:KAT78"/>
    <mergeCell ref="KAU78:KAV78"/>
    <mergeCell ref="KAW78:KAX78"/>
    <mergeCell ref="KAY78:KAZ78"/>
    <mergeCell ref="KBA78:KBB78"/>
    <mergeCell ref="KDK78:KDL78"/>
    <mergeCell ref="KDM78:KDN78"/>
    <mergeCell ref="KDO78:KDP78"/>
    <mergeCell ref="KDQ78:KDR78"/>
    <mergeCell ref="KDS78:KDT78"/>
    <mergeCell ref="KDA78:KDB78"/>
    <mergeCell ref="KDC78:KDD78"/>
    <mergeCell ref="KDE78:KDF78"/>
    <mergeCell ref="KDG78:KDH78"/>
    <mergeCell ref="KDI78:KDJ78"/>
    <mergeCell ref="KCQ78:KCR78"/>
    <mergeCell ref="KCS78:KCT78"/>
    <mergeCell ref="KCU78:KCV78"/>
    <mergeCell ref="KCW78:KCX78"/>
    <mergeCell ref="KCY78:KCZ78"/>
    <mergeCell ref="KCG78:KCH78"/>
    <mergeCell ref="KCI78:KCJ78"/>
    <mergeCell ref="KCK78:KCL78"/>
    <mergeCell ref="KCM78:KCN78"/>
    <mergeCell ref="KCO78:KCP78"/>
    <mergeCell ref="KEY78:KEZ78"/>
    <mergeCell ref="KFA78:KFB78"/>
    <mergeCell ref="KFC78:KFD78"/>
    <mergeCell ref="KFE78:KFF78"/>
    <mergeCell ref="KFG78:KFH78"/>
    <mergeCell ref="KEO78:KEP78"/>
    <mergeCell ref="KEQ78:KER78"/>
    <mergeCell ref="KES78:KET78"/>
    <mergeCell ref="KEU78:KEV78"/>
    <mergeCell ref="KEW78:KEX78"/>
    <mergeCell ref="KEE78:KEF78"/>
    <mergeCell ref="KEG78:KEH78"/>
    <mergeCell ref="KEI78:KEJ78"/>
    <mergeCell ref="KEK78:KEL78"/>
    <mergeCell ref="KEM78:KEN78"/>
    <mergeCell ref="KDU78:KDV78"/>
    <mergeCell ref="KDW78:KDX78"/>
    <mergeCell ref="KDY78:KDZ78"/>
    <mergeCell ref="KEA78:KEB78"/>
    <mergeCell ref="KEC78:KED78"/>
    <mergeCell ref="KGM78:KGN78"/>
    <mergeCell ref="KGO78:KGP78"/>
    <mergeCell ref="KGQ78:KGR78"/>
    <mergeCell ref="KGS78:KGT78"/>
    <mergeCell ref="KGU78:KGV78"/>
    <mergeCell ref="KGC78:KGD78"/>
    <mergeCell ref="KGE78:KGF78"/>
    <mergeCell ref="KGG78:KGH78"/>
    <mergeCell ref="KGI78:KGJ78"/>
    <mergeCell ref="KGK78:KGL78"/>
    <mergeCell ref="KFS78:KFT78"/>
    <mergeCell ref="KFU78:KFV78"/>
    <mergeCell ref="KFW78:KFX78"/>
    <mergeCell ref="KFY78:KFZ78"/>
    <mergeCell ref="KGA78:KGB78"/>
    <mergeCell ref="KFI78:KFJ78"/>
    <mergeCell ref="KFK78:KFL78"/>
    <mergeCell ref="KFM78:KFN78"/>
    <mergeCell ref="KFO78:KFP78"/>
    <mergeCell ref="KFQ78:KFR78"/>
    <mergeCell ref="KIA78:KIB78"/>
    <mergeCell ref="KIC78:KID78"/>
    <mergeCell ref="KIE78:KIF78"/>
    <mergeCell ref="KIG78:KIH78"/>
    <mergeCell ref="KII78:KIJ78"/>
    <mergeCell ref="KHQ78:KHR78"/>
    <mergeCell ref="KHS78:KHT78"/>
    <mergeCell ref="KHU78:KHV78"/>
    <mergeCell ref="KHW78:KHX78"/>
    <mergeCell ref="KHY78:KHZ78"/>
    <mergeCell ref="KHG78:KHH78"/>
    <mergeCell ref="KHI78:KHJ78"/>
    <mergeCell ref="KHK78:KHL78"/>
    <mergeCell ref="KHM78:KHN78"/>
    <mergeCell ref="KHO78:KHP78"/>
    <mergeCell ref="KGW78:KGX78"/>
    <mergeCell ref="KGY78:KGZ78"/>
    <mergeCell ref="KHA78:KHB78"/>
    <mergeCell ref="KHC78:KHD78"/>
    <mergeCell ref="KHE78:KHF78"/>
    <mergeCell ref="KJO78:KJP78"/>
    <mergeCell ref="KJQ78:KJR78"/>
    <mergeCell ref="KJS78:KJT78"/>
    <mergeCell ref="KJU78:KJV78"/>
    <mergeCell ref="KJW78:KJX78"/>
    <mergeCell ref="KJE78:KJF78"/>
    <mergeCell ref="KJG78:KJH78"/>
    <mergeCell ref="KJI78:KJJ78"/>
    <mergeCell ref="KJK78:KJL78"/>
    <mergeCell ref="KJM78:KJN78"/>
    <mergeCell ref="KIU78:KIV78"/>
    <mergeCell ref="KIW78:KIX78"/>
    <mergeCell ref="KIY78:KIZ78"/>
    <mergeCell ref="KJA78:KJB78"/>
    <mergeCell ref="KJC78:KJD78"/>
    <mergeCell ref="KIK78:KIL78"/>
    <mergeCell ref="KIM78:KIN78"/>
    <mergeCell ref="KIO78:KIP78"/>
    <mergeCell ref="KIQ78:KIR78"/>
    <mergeCell ref="KIS78:KIT78"/>
    <mergeCell ref="KLC78:KLD78"/>
    <mergeCell ref="KLE78:KLF78"/>
    <mergeCell ref="KLG78:KLH78"/>
    <mergeCell ref="KLI78:KLJ78"/>
    <mergeCell ref="KLK78:KLL78"/>
    <mergeCell ref="KKS78:KKT78"/>
    <mergeCell ref="KKU78:KKV78"/>
    <mergeCell ref="KKW78:KKX78"/>
    <mergeCell ref="KKY78:KKZ78"/>
    <mergeCell ref="KLA78:KLB78"/>
    <mergeCell ref="KKI78:KKJ78"/>
    <mergeCell ref="KKK78:KKL78"/>
    <mergeCell ref="KKM78:KKN78"/>
    <mergeCell ref="KKO78:KKP78"/>
    <mergeCell ref="KKQ78:KKR78"/>
    <mergeCell ref="KJY78:KJZ78"/>
    <mergeCell ref="KKA78:KKB78"/>
    <mergeCell ref="KKC78:KKD78"/>
    <mergeCell ref="KKE78:KKF78"/>
    <mergeCell ref="KKG78:KKH78"/>
    <mergeCell ref="KMQ78:KMR78"/>
    <mergeCell ref="KMS78:KMT78"/>
    <mergeCell ref="KMU78:KMV78"/>
    <mergeCell ref="KMW78:KMX78"/>
    <mergeCell ref="KMY78:KMZ78"/>
    <mergeCell ref="KMG78:KMH78"/>
    <mergeCell ref="KMI78:KMJ78"/>
    <mergeCell ref="KMK78:KML78"/>
    <mergeCell ref="KMM78:KMN78"/>
    <mergeCell ref="KMO78:KMP78"/>
    <mergeCell ref="KLW78:KLX78"/>
    <mergeCell ref="KLY78:KLZ78"/>
    <mergeCell ref="KMA78:KMB78"/>
    <mergeCell ref="KMC78:KMD78"/>
    <mergeCell ref="KME78:KMF78"/>
    <mergeCell ref="KLM78:KLN78"/>
    <mergeCell ref="KLO78:KLP78"/>
    <mergeCell ref="KLQ78:KLR78"/>
    <mergeCell ref="KLS78:KLT78"/>
    <mergeCell ref="KLU78:KLV78"/>
    <mergeCell ref="KOE78:KOF78"/>
    <mergeCell ref="KOG78:KOH78"/>
    <mergeCell ref="KOI78:KOJ78"/>
    <mergeCell ref="KOK78:KOL78"/>
    <mergeCell ref="KOM78:KON78"/>
    <mergeCell ref="KNU78:KNV78"/>
    <mergeCell ref="KNW78:KNX78"/>
    <mergeCell ref="KNY78:KNZ78"/>
    <mergeCell ref="KOA78:KOB78"/>
    <mergeCell ref="KOC78:KOD78"/>
    <mergeCell ref="KNK78:KNL78"/>
    <mergeCell ref="KNM78:KNN78"/>
    <mergeCell ref="KNO78:KNP78"/>
    <mergeCell ref="KNQ78:KNR78"/>
    <mergeCell ref="KNS78:KNT78"/>
    <mergeCell ref="KNA78:KNB78"/>
    <mergeCell ref="KNC78:KND78"/>
    <mergeCell ref="KNE78:KNF78"/>
    <mergeCell ref="KNG78:KNH78"/>
    <mergeCell ref="KNI78:KNJ78"/>
    <mergeCell ref="KPS78:KPT78"/>
    <mergeCell ref="KPU78:KPV78"/>
    <mergeCell ref="KPW78:KPX78"/>
    <mergeCell ref="KPY78:KPZ78"/>
    <mergeCell ref="KQA78:KQB78"/>
    <mergeCell ref="KPI78:KPJ78"/>
    <mergeCell ref="KPK78:KPL78"/>
    <mergeCell ref="KPM78:KPN78"/>
    <mergeCell ref="KPO78:KPP78"/>
    <mergeCell ref="KPQ78:KPR78"/>
    <mergeCell ref="KOY78:KOZ78"/>
    <mergeCell ref="KPA78:KPB78"/>
    <mergeCell ref="KPC78:KPD78"/>
    <mergeCell ref="KPE78:KPF78"/>
    <mergeCell ref="KPG78:KPH78"/>
    <mergeCell ref="KOO78:KOP78"/>
    <mergeCell ref="KOQ78:KOR78"/>
    <mergeCell ref="KOS78:KOT78"/>
    <mergeCell ref="KOU78:KOV78"/>
    <mergeCell ref="KOW78:KOX78"/>
    <mergeCell ref="KRG78:KRH78"/>
    <mergeCell ref="KRI78:KRJ78"/>
    <mergeCell ref="KRK78:KRL78"/>
    <mergeCell ref="KRM78:KRN78"/>
    <mergeCell ref="KRO78:KRP78"/>
    <mergeCell ref="KQW78:KQX78"/>
    <mergeCell ref="KQY78:KQZ78"/>
    <mergeCell ref="KRA78:KRB78"/>
    <mergeCell ref="KRC78:KRD78"/>
    <mergeCell ref="KRE78:KRF78"/>
    <mergeCell ref="KQM78:KQN78"/>
    <mergeCell ref="KQO78:KQP78"/>
    <mergeCell ref="KQQ78:KQR78"/>
    <mergeCell ref="KQS78:KQT78"/>
    <mergeCell ref="KQU78:KQV78"/>
    <mergeCell ref="KQC78:KQD78"/>
    <mergeCell ref="KQE78:KQF78"/>
    <mergeCell ref="KQG78:KQH78"/>
    <mergeCell ref="KQI78:KQJ78"/>
    <mergeCell ref="KQK78:KQL78"/>
    <mergeCell ref="KSU78:KSV78"/>
    <mergeCell ref="KSW78:KSX78"/>
    <mergeCell ref="KSY78:KSZ78"/>
    <mergeCell ref="KTA78:KTB78"/>
    <mergeCell ref="KTC78:KTD78"/>
    <mergeCell ref="KSK78:KSL78"/>
    <mergeCell ref="KSM78:KSN78"/>
    <mergeCell ref="KSO78:KSP78"/>
    <mergeCell ref="KSQ78:KSR78"/>
    <mergeCell ref="KSS78:KST78"/>
    <mergeCell ref="KSA78:KSB78"/>
    <mergeCell ref="KSC78:KSD78"/>
    <mergeCell ref="KSE78:KSF78"/>
    <mergeCell ref="KSG78:KSH78"/>
    <mergeCell ref="KSI78:KSJ78"/>
    <mergeCell ref="KRQ78:KRR78"/>
    <mergeCell ref="KRS78:KRT78"/>
    <mergeCell ref="KRU78:KRV78"/>
    <mergeCell ref="KRW78:KRX78"/>
    <mergeCell ref="KRY78:KRZ78"/>
    <mergeCell ref="KUI78:KUJ78"/>
    <mergeCell ref="KUK78:KUL78"/>
    <mergeCell ref="KUM78:KUN78"/>
    <mergeCell ref="KUO78:KUP78"/>
    <mergeCell ref="KUQ78:KUR78"/>
    <mergeCell ref="KTY78:KTZ78"/>
    <mergeCell ref="KUA78:KUB78"/>
    <mergeCell ref="KUC78:KUD78"/>
    <mergeCell ref="KUE78:KUF78"/>
    <mergeCell ref="KUG78:KUH78"/>
    <mergeCell ref="KTO78:KTP78"/>
    <mergeCell ref="KTQ78:KTR78"/>
    <mergeCell ref="KTS78:KTT78"/>
    <mergeCell ref="KTU78:KTV78"/>
    <mergeCell ref="KTW78:KTX78"/>
    <mergeCell ref="KTE78:KTF78"/>
    <mergeCell ref="KTG78:KTH78"/>
    <mergeCell ref="KTI78:KTJ78"/>
    <mergeCell ref="KTK78:KTL78"/>
    <mergeCell ref="KTM78:KTN78"/>
    <mergeCell ref="KVW78:KVX78"/>
    <mergeCell ref="KVY78:KVZ78"/>
    <mergeCell ref="KWA78:KWB78"/>
    <mergeCell ref="KWC78:KWD78"/>
    <mergeCell ref="KWE78:KWF78"/>
    <mergeCell ref="KVM78:KVN78"/>
    <mergeCell ref="KVO78:KVP78"/>
    <mergeCell ref="KVQ78:KVR78"/>
    <mergeCell ref="KVS78:KVT78"/>
    <mergeCell ref="KVU78:KVV78"/>
    <mergeCell ref="KVC78:KVD78"/>
    <mergeCell ref="KVE78:KVF78"/>
    <mergeCell ref="KVG78:KVH78"/>
    <mergeCell ref="KVI78:KVJ78"/>
    <mergeCell ref="KVK78:KVL78"/>
    <mergeCell ref="KUS78:KUT78"/>
    <mergeCell ref="KUU78:KUV78"/>
    <mergeCell ref="KUW78:KUX78"/>
    <mergeCell ref="KUY78:KUZ78"/>
    <mergeCell ref="KVA78:KVB78"/>
    <mergeCell ref="KXK78:KXL78"/>
    <mergeCell ref="KXM78:KXN78"/>
    <mergeCell ref="KXO78:KXP78"/>
    <mergeCell ref="KXQ78:KXR78"/>
    <mergeCell ref="KXS78:KXT78"/>
    <mergeCell ref="KXA78:KXB78"/>
    <mergeCell ref="KXC78:KXD78"/>
    <mergeCell ref="KXE78:KXF78"/>
    <mergeCell ref="KXG78:KXH78"/>
    <mergeCell ref="KXI78:KXJ78"/>
    <mergeCell ref="KWQ78:KWR78"/>
    <mergeCell ref="KWS78:KWT78"/>
    <mergeCell ref="KWU78:KWV78"/>
    <mergeCell ref="KWW78:KWX78"/>
    <mergeCell ref="KWY78:KWZ78"/>
    <mergeCell ref="KWG78:KWH78"/>
    <mergeCell ref="KWI78:KWJ78"/>
    <mergeCell ref="KWK78:KWL78"/>
    <mergeCell ref="KWM78:KWN78"/>
    <mergeCell ref="KWO78:KWP78"/>
    <mergeCell ref="KYY78:KYZ78"/>
    <mergeCell ref="KZA78:KZB78"/>
    <mergeCell ref="KZC78:KZD78"/>
    <mergeCell ref="KZE78:KZF78"/>
    <mergeCell ref="KZG78:KZH78"/>
    <mergeCell ref="KYO78:KYP78"/>
    <mergeCell ref="KYQ78:KYR78"/>
    <mergeCell ref="KYS78:KYT78"/>
    <mergeCell ref="KYU78:KYV78"/>
    <mergeCell ref="KYW78:KYX78"/>
    <mergeCell ref="KYE78:KYF78"/>
    <mergeCell ref="KYG78:KYH78"/>
    <mergeCell ref="KYI78:KYJ78"/>
    <mergeCell ref="KYK78:KYL78"/>
    <mergeCell ref="KYM78:KYN78"/>
    <mergeCell ref="KXU78:KXV78"/>
    <mergeCell ref="KXW78:KXX78"/>
    <mergeCell ref="KXY78:KXZ78"/>
    <mergeCell ref="KYA78:KYB78"/>
    <mergeCell ref="KYC78:KYD78"/>
    <mergeCell ref="LAM78:LAN78"/>
    <mergeCell ref="LAO78:LAP78"/>
    <mergeCell ref="LAQ78:LAR78"/>
    <mergeCell ref="LAS78:LAT78"/>
    <mergeCell ref="LAU78:LAV78"/>
    <mergeCell ref="LAC78:LAD78"/>
    <mergeCell ref="LAE78:LAF78"/>
    <mergeCell ref="LAG78:LAH78"/>
    <mergeCell ref="LAI78:LAJ78"/>
    <mergeCell ref="LAK78:LAL78"/>
    <mergeCell ref="KZS78:KZT78"/>
    <mergeCell ref="KZU78:KZV78"/>
    <mergeCell ref="KZW78:KZX78"/>
    <mergeCell ref="KZY78:KZZ78"/>
    <mergeCell ref="LAA78:LAB78"/>
    <mergeCell ref="KZI78:KZJ78"/>
    <mergeCell ref="KZK78:KZL78"/>
    <mergeCell ref="KZM78:KZN78"/>
    <mergeCell ref="KZO78:KZP78"/>
    <mergeCell ref="KZQ78:KZR78"/>
    <mergeCell ref="LCA78:LCB78"/>
    <mergeCell ref="LCC78:LCD78"/>
    <mergeCell ref="LCE78:LCF78"/>
    <mergeCell ref="LCG78:LCH78"/>
    <mergeCell ref="LCI78:LCJ78"/>
    <mergeCell ref="LBQ78:LBR78"/>
    <mergeCell ref="LBS78:LBT78"/>
    <mergeCell ref="LBU78:LBV78"/>
    <mergeCell ref="LBW78:LBX78"/>
    <mergeCell ref="LBY78:LBZ78"/>
    <mergeCell ref="LBG78:LBH78"/>
    <mergeCell ref="LBI78:LBJ78"/>
    <mergeCell ref="LBK78:LBL78"/>
    <mergeCell ref="LBM78:LBN78"/>
    <mergeCell ref="LBO78:LBP78"/>
    <mergeCell ref="LAW78:LAX78"/>
    <mergeCell ref="LAY78:LAZ78"/>
    <mergeCell ref="LBA78:LBB78"/>
    <mergeCell ref="LBC78:LBD78"/>
    <mergeCell ref="LBE78:LBF78"/>
    <mergeCell ref="LDO78:LDP78"/>
    <mergeCell ref="LDQ78:LDR78"/>
    <mergeCell ref="LDS78:LDT78"/>
    <mergeCell ref="LDU78:LDV78"/>
    <mergeCell ref="LDW78:LDX78"/>
    <mergeCell ref="LDE78:LDF78"/>
    <mergeCell ref="LDG78:LDH78"/>
    <mergeCell ref="LDI78:LDJ78"/>
    <mergeCell ref="LDK78:LDL78"/>
    <mergeCell ref="LDM78:LDN78"/>
    <mergeCell ref="LCU78:LCV78"/>
    <mergeCell ref="LCW78:LCX78"/>
    <mergeCell ref="LCY78:LCZ78"/>
    <mergeCell ref="LDA78:LDB78"/>
    <mergeCell ref="LDC78:LDD78"/>
    <mergeCell ref="LCK78:LCL78"/>
    <mergeCell ref="LCM78:LCN78"/>
    <mergeCell ref="LCO78:LCP78"/>
    <mergeCell ref="LCQ78:LCR78"/>
    <mergeCell ref="LCS78:LCT78"/>
    <mergeCell ref="LFC78:LFD78"/>
    <mergeCell ref="LFE78:LFF78"/>
    <mergeCell ref="LFG78:LFH78"/>
    <mergeCell ref="LFI78:LFJ78"/>
    <mergeCell ref="LFK78:LFL78"/>
    <mergeCell ref="LES78:LET78"/>
    <mergeCell ref="LEU78:LEV78"/>
    <mergeCell ref="LEW78:LEX78"/>
    <mergeCell ref="LEY78:LEZ78"/>
    <mergeCell ref="LFA78:LFB78"/>
    <mergeCell ref="LEI78:LEJ78"/>
    <mergeCell ref="LEK78:LEL78"/>
    <mergeCell ref="LEM78:LEN78"/>
    <mergeCell ref="LEO78:LEP78"/>
    <mergeCell ref="LEQ78:LER78"/>
    <mergeCell ref="LDY78:LDZ78"/>
    <mergeCell ref="LEA78:LEB78"/>
    <mergeCell ref="LEC78:LED78"/>
    <mergeCell ref="LEE78:LEF78"/>
    <mergeCell ref="LEG78:LEH78"/>
    <mergeCell ref="LGQ78:LGR78"/>
    <mergeCell ref="LGS78:LGT78"/>
    <mergeCell ref="LGU78:LGV78"/>
    <mergeCell ref="LGW78:LGX78"/>
    <mergeCell ref="LGY78:LGZ78"/>
    <mergeCell ref="LGG78:LGH78"/>
    <mergeCell ref="LGI78:LGJ78"/>
    <mergeCell ref="LGK78:LGL78"/>
    <mergeCell ref="LGM78:LGN78"/>
    <mergeCell ref="LGO78:LGP78"/>
    <mergeCell ref="LFW78:LFX78"/>
    <mergeCell ref="LFY78:LFZ78"/>
    <mergeCell ref="LGA78:LGB78"/>
    <mergeCell ref="LGC78:LGD78"/>
    <mergeCell ref="LGE78:LGF78"/>
    <mergeCell ref="LFM78:LFN78"/>
    <mergeCell ref="LFO78:LFP78"/>
    <mergeCell ref="LFQ78:LFR78"/>
    <mergeCell ref="LFS78:LFT78"/>
    <mergeCell ref="LFU78:LFV78"/>
    <mergeCell ref="LIE78:LIF78"/>
    <mergeCell ref="LIG78:LIH78"/>
    <mergeCell ref="LII78:LIJ78"/>
    <mergeCell ref="LIK78:LIL78"/>
    <mergeCell ref="LIM78:LIN78"/>
    <mergeCell ref="LHU78:LHV78"/>
    <mergeCell ref="LHW78:LHX78"/>
    <mergeCell ref="LHY78:LHZ78"/>
    <mergeCell ref="LIA78:LIB78"/>
    <mergeCell ref="LIC78:LID78"/>
    <mergeCell ref="LHK78:LHL78"/>
    <mergeCell ref="LHM78:LHN78"/>
    <mergeCell ref="LHO78:LHP78"/>
    <mergeCell ref="LHQ78:LHR78"/>
    <mergeCell ref="LHS78:LHT78"/>
    <mergeCell ref="LHA78:LHB78"/>
    <mergeCell ref="LHC78:LHD78"/>
    <mergeCell ref="LHE78:LHF78"/>
    <mergeCell ref="LHG78:LHH78"/>
    <mergeCell ref="LHI78:LHJ78"/>
    <mergeCell ref="LJS78:LJT78"/>
    <mergeCell ref="LJU78:LJV78"/>
    <mergeCell ref="LJW78:LJX78"/>
    <mergeCell ref="LJY78:LJZ78"/>
    <mergeCell ref="LKA78:LKB78"/>
    <mergeCell ref="LJI78:LJJ78"/>
    <mergeCell ref="LJK78:LJL78"/>
    <mergeCell ref="LJM78:LJN78"/>
    <mergeCell ref="LJO78:LJP78"/>
    <mergeCell ref="LJQ78:LJR78"/>
    <mergeCell ref="LIY78:LIZ78"/>
    <mergeCell ref="LJA78:LJB78"/>
    <mergeCell ref="LJC78:LJD78"/>
    <mergeCell ref="LJE78:LJF78"/>
    <mergeCell ref="LJG78:LJH78"/>
    <mergeCell ref="LIO78:LIP78"/>
    <mergeCell ref="LIQ78:LIR78"/>
    <mergeCell ref="LIS78:LIT78"/>
    <mergeCell ref="LIU78:LIV78"/>
    <mergeCell ref="LIW78:LIX78"/>
    <mergeCell ref="LLG78:LLH78"/>
    <mergeCell ref="LLI78:LLJ78"/>
    <mergeCell ref="LLK78:LLL78"/>
    <mergeCell ref="LLM78:LLN78"/>
    <mergeCell ref="LLO78:LLP78"/>
    <mergeCell ref="LKW78:LKX78"/>
    <mergeCell ref="LKY78:LKZ78"/>
    <mergeCell ref="LLA78:LLB78"/>
    <mergeCell ref="LLC78:LLD78"/>
    <mergeCell ref="LLE78:LLF78"/>
    <mergeCell ref="LKM78:LKN78"/>
    <mergeCell ref="LKO78:LKP78"/>
    <mergeCell ref="LKQ78:LKR78"/>
    <mergeCell ref="LKS78:LKT78"/>
    <mergeCell ref="LKU78:LKV78"/>
    <mergeCell ref="LKC78:LKD78"/>
    <mergeCell ref="LKE78:LKF78"/>
    <mergeCell ref="LKG78:LKH78"/>
    <mergeCell ref="LKI78:LKJ78"/>
    <mergeCell ref="LKK78:LKL78"/>
    <mergeCell ref="LMU78:LMV78"/>
    <mergeCell ref="LMW78:LMX78"/>
    <mergeCell ref="LMY78:LMZ78"/>
    <mergeCell ref="LNA78:LNB78"/>
    <mergeCell ref="LNC78:LND78"/>
    <mergeCell ref="LMK78:LML78"/>
    <mergeCell ref="LMM78:LMN78"/>
    <mergeCell ref="LMO78:LMP78"/>
    <mergeCell ref="LMQ78:LMR78"/>
    <mergeCell ref="LMS78:LMT78"/>
    <mergeCell ref="LMA78:LMB78"/>
    <mergeCell ref="LMC78:LMD78"/>
    <mergeCell ref="LME78:LMF78"/>
    <mergeCell ref="LMG78:LMH78"/>
    <mergeCell ref="LMI78:LMJ78"/>
    <mergeCell ref="LLQ78:LLR78"/>
    <mergeCell ref="LLS78:LLT78"/>
    <mergeCell ref="LLU78:LLV78"/>
    <mergeCell ref="LLW78:LLX78"/>
    <mergeCell ref="LLY78:LLZ78"/>
    <mergeCell ref="LOI78:LOJ78"/>
    <mergeCell ref="LOK78:LOL78"/>
    <mergeCell ref="LOM78:LON78"/>
    <mergeCell ref="LOO78:LOP78"/>
    <mergeCell ref="LOQ78:LOR78"/>
    <mergeCell ref="LNY78:LNZ78"/>
    <mergeCell ref="LOA78:LOB78"/>
    <mergeCell ref="LOC78:LOD78"/>
    <mergeCell ref="LOE78:LOF78"/>
    <mergeCell ref="LOG78:LOH78"/>
    <mergeCell ref="LNO78:LNP78"/>
    <mergeCell ref="LNQ78:LNR78"/>
    <mergeCell ref="LNS78:LNT78"/>
    <mergeCell ref="LNU78:LNV78"/>
    <mergeCell ref="LNW78:LNX78"/>
    <mergeCell ref="LNE78:LNF78"/>
    <mergeCell ref="LNG78:LNH78"/>
    <mergeCell ref="LNI78:LNJ78"/>
    <mergeCell ref="LNK78:LNL78"/>
    <mergeCell ref="LNM78:LNN78"/>
    <mergeCell ref="LPW78:LPX78"/>
    <mergeCell ref="LPY78:LPZ78"/>
    <mergeCell ref="LQA78:LQB78"/>
    <mergeCell ref="LQC78:LQD78"/>
    <mergeCell ref="LQE78:LQF78"/>
    <mergeCell ref="LPM78:LPN78"/>
    <mergeCell ref="LPO78:LPP78"/>
    <mergeCell ref="LPQ78:LPR78"/>
    <mergeCell ref="LPS78:LPT78"/>
    <mergeCell ref="LPU78:LPV78"/>
    <mergeCell ref="LPC78:LPD78"/>
    <mergeCell ref="LPE78:LPF78"/>
    <mergeCell ref="LPG78:LPH78"/>
    <mergeCell ref="LPI78:LPJ78"/>
    <mergeCell ref="LPK78:LPL78"/>
    <mergeCell ref="LOS78:LOT78"/>
    <mergeCell ref="LOU78:LOV78"/>
    <mergeCell ref="LOW78:LOX78"/>
    <mergeCell ref="LOY78:LOZ78"/>
    <mergeCell ref="LPA78:LPB78"/>
    <mergeCell ref="LRK78:LRL78"/>
    <mergeCell ref="LRM78:LRN78"/>
    <mergeCell ref="LRO78:LRP78"/>
    <mergeCell ref="LRQ78:LRR78"/>
    <mergeCell ref="LRS78:LRT78"/>
    <mergeCell ref="LRA78:LRB78"/>
    <mergeCell ref="LRC78:LRD78"/>
    <mergeCell ref="LRE78:LRF78"/>
    <mergeCell ref="LRG78:LRH78"/>
    <mergeCell ref="LRI78:LRJ78"/>
    <mergeCell ref="LQQ78:LQR78"/>
    <mergeCell ref="LQS78:LQT78"/>
    <mergeCell ref="LQU78:LQV78"/>
    <mergeCell ref="LQW78:LQX78"/>
    <mergeCell ref="LQY78:LQZ78"/>
    <mergeCell ref="LQG78:LQH78"/>
    <mergeCell ref="LQI78:LQJ78"/>
    <mergeCell ref="LQK78:LQL78"/>
    <mergeCell ref="LQM78:LQN78"/>
    <mergeCell ref="LQO78:LQP78"/>
    <mergeCell ref="LSY78:LSZ78"/>
    <mergeCell ref="LTA78:LTB78"/>
    <mergeCell ref="LTC78:LTD78"/>
    <mergeCell ref="LTE78:LTF78"/>
    <mergeCell ref="LTG78:LTH78"/>
    <mergeCell ref="LSO78:LSP78"/>
    <mergeCell ref="LSQ78:LSR78"/>
    <mergeCell ref="LSS78:LST78"/>
    <mergeCell ref="LSU78:LSV78"/>
    <mergeCell ref="LSW78:LSX78"/>
    <mergeCell ref="LSE78:LSF78"/>
    <mergeCell ref="LSG78:LSH78"/>
    <mergeCell ref="LSI78:LSJ78"/>
    <mergeCell ref="LSK78:LSL78"/>
    <mergeCell ref="LSM78:LSN78"/>
    <mergeCell ref="LRU78:LRV78"/>
    <mergeCell ref="LRW78:LRX78"/>
    <mergeCell ref="LRY78:LRZ78"/>
    <mergeCell ref="LSA78:LSB78"/>
    <mergeCell ref="LSC78:LSD78"/>
    <mergeCell ref="LUM78:LUN78"/>
    <mergeCell ref="LUO78:LUP78"/>
    <mergeCell ref="LUQ78:LUR78"/>
    <mergeCell ref="LUS78:LUT78"/>
    <mergeCell ref="LUU78:LUV78"/>
    <mergeCell ref="LUC78:LUD78"/>
    <mergeCell ref="LUE78:LUF78"/>
    <mergeCell ref="LUG78:LUH78"/>
    <mergeCell ref="LUI78:LUJ78"/>
    <mergeCell ref="LUK78:LUL78"/>
    <mergeCell ref="LTS78:LTT78"/>
    <mergeCell ref="LTU78:LTV78"/>
    <mergeCell ref="LTW78:LTX78"/>
    <mergeCell ref="LTY78:LTZ78"/>
    <mergeCell ref="LUA78:LUB78"/>
    <mergeCell ref="LTI78:LTJ78"/>
    <mergeCell ref="LTK78:LTL78"/>
    <mergeCell ref="LTM78:LTN78"/>
    <mergeCell ref="LTO78:LTP78"/>
    <mergeCell ref="LTQ78:LTR78"/>
    <mergeCell ref="LWA78:LWB78"/>
    <mergeCell ref="LWC78:LWD78"/>
    <mergeCell ref="LWE78:LWF78"/>
    <mergeCell ref="LWG78:LWH78"/>
    <mergeCell ref="LWI78:LWJ78"/>
    <mergeCell ref="LVQ78:LVR78"/>
    <mergeCell ref="LVS78:LVT78"/>
    <mergeCell ref="LVU78:LVV78"/>
    <mergeCell ref="LVW78:LVX78"/>
    <mergeCell ref="LVY78:LVZ78"/>
    <mergeCell ref="LVG78:LVH78"/>
    <mergeCell ref="LVI78:LVJ78"/>
    <mergeCell ref="LVK78:LVL78"/>
    <mergeCell ref="LVM78:LVN78"/>
    <mergeCell ref="LVO78:LVP78"/>
    <mergeCell ref="LUW78:LUX78"/>
    <mergeCell ref="LUY78:LUZ78"/>
    <mergeCell ref="LVA78:LVB78"/>
    <mergeCell ref="LVC78:LVD78"/>
    <mergeCell ref="LVE78:LVF78"/>
    <mergeCell ref="LXO78:LXP78"/>
    <mergeCell ref="LXQ78:LXR78"/>
    <mergeCell ref="LXS78:LXT78"/>
    <mergeCell ref="LXU78:LXV78"/>
    <mergeCell ref="LXW78:LXX78"/>
    <mergeCell ref="LXE78:LXF78"/>
    <mergeCell ref="LXG78:LXH78"/>
    <mergeCell ref="LXI78:LXJ78"/>
    <mergeCell ref="LXK78:LXL78"/>
    <mergeCell ref="LXM78:LXN78"/>
    <mergeCell ref="LWU78:LWV78"/>
    <mergeCell ref="LWW78:LWX78"/>
    <mergeCell ref="LWY78:LWZ78"/>
    <mergeCell ref="LXA78:LXB78"/>
    <mergeCell ref="LXC78:LXD78"/>
    <mergeCell ref="LWK78:LWL78"/>
    <mergeCell ref="LWM78:LWN78"/>
    <mergeCell ref="LWO78:LWP78"/>
    <mergeCell ref="LWQ78:LWR78"/>
    <mergeCell ref="LWS78:LWT78"/>
    <mergeCell ref="LZC78:LZD78"/>
    <mergeCell ref="LZE78:LZF78"/>
    <mergeCell ref="LZG78:LZH78"/>
    <mergeCell ref="LZI78:LZJ78"/>
    <mergeCell ref="LZK78:LZL78"/>
    <mergeCell ref="LYS78:LYT78"/>
    <mergeCell ref="LYU78:LYV78"/>
    <mergeCell ref="LYW78:LYX78"/>
    <mergeCell ref="LYY78:LYZ78"/>
    <mergeCell ref="LZA78:LZB78"/>
    <mergeCell ref="LYI78:LYJ78"/>
    <mergeCell ref="LYK78:LYL78"/>
    <mergeCell ref="LYM78:LYN78"/>
    <mergeCell ref="LYO78:LYP78"/>
    <mergeCell ref="LYQ78:LYR78"/>
    <mergeCell ref="LXY78:LXZ78"/>
    <mergeCell ref="LYA78:LYB78"/>
    <mergeCell ref="LYC78:LYD78"/>
    <mergeCell ref="LYE78:LYF78"/>
    <mergeCell ref="LYG78:LYH78"/>
    <mergeCell ref="MAQ78:MAR78"/>
    <mergeCell ref="MAS78:MAT78"/>
    <mergeCell ref="MAU78:MAV78"/>
    <mergeCell ref="MAW78:MAX78"/>
    <mergeCell ref="MAY78:MAZ78"/>
    <mergeCell ref="MAG78:MAH78"/>
    <mergeCell ref="MAI78:MAJ78"/>
    <mergeCell ref="MAK78:MAL78"/>
    <mergeCell ref="MAM78:MAN78"/>
    <mergeCell ref="MAO78:MAP78"/>
    <mergeCell ref="LZW78:LZX78"/>
    <mergeCell ref="LZY78:LZZ78"/>
    <mergeCell ref="MAA78:MAB78"/>
    <mergeCell ref="MAC78:MAD78"/>
    <mergeCell ref="MAE78:MAF78"/>
    <mergeCell ref="LZM78:LZN78"/>
    <mergeCell ref="LZO78:LZP78"/>
    <mergeCell ref="LZQ78:LZR78"/>
    <mergeCell ref="LZS78:LZT78"/>
    <mergeCell ref="LZU78:LZV78"/>
    <mergeCell ref="MCE78:MCF78"/>
    <mergeCell ref="MCG78:MCH78"/>
    <mergeCell ref="MCI78:MCJ78"/>
    <mergeCell ref="MCK78:MCL78"/>
    <mergeCell ref="MCM78:MCN78"/>
    <mergeCell ref="MBU78:MBV78"/>
    <mergeCell ref="MBW78:MBX78"/>
    <mergeCell ref="MBY78:MBZ78"/>
    <mergeCell ref="MCA78:MCB78"/>
    <mergeCell ref="MCC78:MCD78"/>
    <mergeCell ref="MBK78:MBL78"/>
    <mergeCell ref="MBM78:MBN78"/>
    <mergeCell ref="MBO78:MBP78"/>
    <mergeCell ref="MBQ78:MBR78"/>
    <mergeCell ref="MBS78:MBT78"/>
    <mergeCell ref="MBA78:MBB78"/>
    <mergeCell ref="MBC78:MBD78"/>
    <mergeCell ref="MBE78:MBF78"/>
    <mergeCell ref="MBG78:MBH78"/>
    <mergeCell ref="MBI78:MBJ78"/>
    <mergeCell ref="MDS78:MDT78"/>
    <mergeCell ref="MDU78:MDV78"/>
    <mergeCell ref="MDW78:MDX78"/>
    <mergeCell ref="MDY78:MDZ78"/>
    <mergeCell ref="MEA78:MEB78"/>
    <mergeCell ref="MDI78:MDJ78"/>
    <mergeCell ref="MDK78:MDL78"/>
    <mergeCell ref="MDM78:MDN78"/>
    <mergeCell ref="MDO78:MDP78"/>
    <mergeCell ref="MDQ78:MDR78"/>
    <mergeCell ref="MCY78:MCZ78"/>
    <mergeCell ref="MDA78:MDB78"/>
    <mergeCell ref="MDC78:MDD78"/>
    <mergeCell ref="MDE78:MDF78"/>
    <mergeCell ref="MDG78:MDH78"/>
    <mergeCell ref="MCO78:MCP78"/>
    <mergeCell ref="MCQ78:MCR78"/>
    <mergeCell ref="MCS78:MCT78"/>
    <mergeCell ref="MCU78:MCV78"/>
    <mergeCell ref="MCW78:MCX78"/>
    <mergeCell ref="MFG78:MFH78"/>
    <mergeCell ref="MFI78:MFJ78"/>
    <mergeCell ref="MFK78:MFL78"/>
    <mergeCell ref="MFM78:MFN78"/>
    <mergeCell ref="MFO78:MFP78"/>
    <mergeCell ref="MEW78:MEX78"/>
    <mergeCell ref="MEY78:MEZ78"/>
    <mergeCell ref="MFA78:MFB78"/>
    <mergeCell ref="MFC78:MFD78"/>
    <mergeCell ref="MFE78:MFF78"/>
    <mergeCell ref="MEM78:MEN78"/>
    <mergeCell ref="MEO78:MEP78"/>
    <mergeCell ref="MEQ78:MER78"/>
    <mergeCell ref="MES78:MET78"/>
    <mergeCell ref="MEU78:MEV78"/>
    <mergeCell ref="MEC78:MED78"/>
    <mergeCell ref="MEE78:MEF78"/>
    <mergeCell ref="MEG78:MEH78"/>
    <mergeCell ref="MEI78:MEJ78"/>
    <mergeCell ref="MEK78:MEL78"/>
    <mergeCell ref="MGU78:MGV78"/>
    <mergeCell ref="MGW78:MGX78"/>
    <mergeCell ref="MGY78:MGZ78"/>
    <mergeCell ref="MHA78:MHB78"/>
    <mergeCell ref="MHC78:MHD78"/>
    <mergeCell ref="MGK78:MGL78"/>
    <mergeCell ref="MGM78:MGN78"/>
    <mergeCell ref="MGO78:MGP78"/>
    <mergeCell ref="MGQ78:MGR78"/>
    <mergeCell ref="MGS78:MGT78"/>
    <mergeCell ref="MGA78:MGB78"/>
    <mergeCell ref="MGC78:MGD78"/>
    <mergeCell ref="MGE78:MGF78"/>
    <mergeCell ref="MGG78:MGH78"/>
    <mergeCell ref="MGI78:MGJ78"/>
    <mergeCell ref="MFQ78:MFR78"/>
    <mergeCell ref="MFS78:MFT78"/>
    <mergeCell ref="MFU78:MFV78"/>
    <mergeCell ref="MFW78:MFX78"/>
    <mergeCell ref="MFY78:MFZ78"/>
    <mergeCell ref="MII78:MIJ78"/>
    <mergeCell ref="MIK78:MIL78"/>
    <mergeCell ref="MIM78:MIN78"/>
    <mergeCell ref="MIO78:MIP78"/>
    <mergeCell ref="MIQ78:MIR78"/>
    <mergeCell ref="MHY78:MHZ78"/>
    <mergeCell ref="MIA78:MIB78"/>
    <mergeCell ref="MIC78:MID78"/>
    <mergeCell ref="MIE78:MIF78"/>
    <mergeCell ref="MIG78:MIH78"/>
    <mergeCell ref="MHO78:MHP78"/>
    <mergeCell ref="MHQ78:MHR78"/>
    <mergeCell ref="MHS78:MHT78"/>
    <mergeCell ref="MHU78:MHV78"/>
    <mergeCell ref="MHW78:MHX78"/>
    <mergeCell ref="MHE78:MHF78"/>
    <mergeCell ref="MHG78:MHH78"/>
    <mergeCell ref="MHI78:MHJ78"/>
    <mergeCell ref="MHK78:MHL78"/>
    <mergeCell ref="MHM78:MHN78"/>
    <mergeCell ref="MJW78:MJX78"/>
    <mergeCell ref="MJY78:MJZ78"/>
    <mergeCell ref="MKA78:MKB78"/>
    <mergeCell ref="MKC78:MKD78"/>
    <mergeCell ref="MKE78:MKF78"/>
    <mergeCell ref="MJM78:MJN78"/>
    <mergeCell ref="MJO78:MJP78"/>
    <mergeCell ref="MJQ78:MJR78"/>
    <mergeCell ref="MJS78:MJT78"/>
    <mergeCell ref="MJU78:MJV78"/>
    <mergeCell ref="MJC78:MJD78"/>
    <mergeCell ref="MJE78:MJF78"/>
    <mergeCell ref="MJG78:MJH78"/>
    <mergeCell ref="MJI78:MJJ78"/>
    <mergeCell ref="MJK78:MJL78"/>
    <mergeCell ref="MIS78:MIT78"/>
    <mergeCell ref="MIU78:MIV78"/>
    <mergeCell ref="MIW78:MIX78"/>
    <mergeCell ref="MIY78:MIZ78"/>
    <mergeCell ref="MJA78:MJB78"/>
    <mergeCell ref="MLK78:MLL78"/>
    <mergeCell ref="MLM78:MLN78"/>
    <mergeCell ref="MLO78:MLP78"/>
    <mergeCell ref="MLQ78:MLR78"/>
    <mergeCell ref="MLS78:MLT78"/>
    <mergeCell ref="MLA78:MLB78"/>
    <mergeCell ref="MLC78:MLD78"/>
    <mergeCell ref="MLE78:MLF78"/>
    <mergeCell ref="MLG78:MLH78"/>
    <mergeCell ref="MLI78:MLJ78"/>
    <mergeCell ref="MKQ78:MKR78"/>
    <mergeCell ref="MKS78:MKT78"/>
    <mergeCell ref="MKU78:MKV78"/>
    <mergeCell ref="MKW78:MKX78"/>
    <mergeCell ref="MKY78:MKZ78"/>
    <mergeCell ref="MKG78:MKH78"/>
    <mergeCell ref="MKI78:MKJ78"/>
    <mergeCell ref="MKK78:MKL78"/>
    <mergeCell ref="MKM78:MKN78"/>
    <mergeCell ref="MKO78:MKP78"/>
    <mergeCell ref="MMY78:MMZ78"/>
    <mergeCell ref="MNA78:MNB78"/>
    <mergeCell ref="MNC78:MND78"/>
    <mergeCell ref="MNE78:MNF78"/>
    <mergeCell ref="MNG78:MNH78"/>
    <mergeCell ref="MMO78:MMP78"/>
    <mergeCell ref="MMQ78:MMR78"/>
    <mergeCell ref="MMS78:MMT78"/>
    <mergeCell ref="MMU78:MMV78"/>
    <mergeCell ref="MMW78:MMX78"/>
    <mergeCell ref="MME78:MMF78"/>
    <mergeCell ref="MMG78:MMH78"/>
    <mergeCell ref="MMI78:MMJ78"/>
    <mergeCell ref="MMK78:MML78"/>
    <mergeCell ref="MMM78:MMN78"/>
    <mergeCell ref="MLU78:MLV78"/>
    <mergeCell ref="MLW78:MLX78"/>
    <mergeCell ref="MLY78:MLZ78"/>
    <mergeCell ref="MMA78:MMB78"/>
    <mergeCell ref="MMC78:MMD78"/>
    <mergeCell ref="MOM78:MON78"/>
    <mergeCell ref="MOO78:MOP78"/>
    <mergeCell ref="MOQ78:MOR78"/>
    <mergeCell ref="MOS78:MOT78"/>
    <mergeCell ref="MOU78:MOV78"/>
    <mergeCell ref="MOC78:MOD78"/>
    <mergeCell ref="MOE78:MOF78"/>
    <mergeCell ref="MOG78:MOH78"/>
    <mergeCell ref="MOI78:MOJ78"/>
    <mergeCell ref="MOK78:MOL78"/>
    <mergeCell ref="MNS78:MNT78"/>
    <mergeCell ref="MNU78:MNV78"/>
    <mergeCell ref="MNW78:MNX78"/>
    <mergeCell ref="MNY78:MNZ78"/>
    <mergeCell ref="MOA78:MOB78"/>
    <mergeCell ref="MNI78:MNJ78"/>
    <mergeCell ref="MNK78:MNL78"/>
    <mergeCell ref="MNM78:MNN78"/>
    <mergeCell ref="MNO78:MNP78"/>
    <mergeCell ref="MNQ78:MNR78"/>
    <mergeCell ref="MQA78:MQB78"/>
    <mergeCell ref="MQC78:MQD78"/>
    <mergeCell ref="MQE78:MQF78"/>
    <mergeCell ref="MQG78:MQH78"/>
    <mergeCell ref="MQI78:MQJ78"/>
    <mergeCell ref="MPQ78:MPR78"/>
    <mergeCell ref="MPS78:MPT78"/>
    <mergeCell ref="MPU78:MPV78"/>
    <mergeCell ref="MPW78:MPX78"/>
    <mergeCell ref="MPY78:MPZ78"/>
    <mergeCell ref="MPG78:MPH78"/>
    <mergeCell ref="MPI78:MPJ78"/>
    <mergeCell ref="MPK78:MPL78"/>
    <mergeCell ref="MPM78:MPN78"/>
    <mergeCell ref="MPO78:MPP78"/>
    <mergeCell ref="MOW78:MOX78"/>
    <mergeCell ref="MOY78:MOZ78"/>
    <mergeCell ref="MPA78:MPB78"/>
    <mergeCell ref="MPC78:MPD78"/>
    <mergeCell ref="MPE78:MPF78"/>
    <mergeCell ref="MRO78:MRP78"/>
    <mergeCell ref="MRQ78:MRR78"/>
    <mergeCell ref="MRS78:MRT78"/>
    <mergeCell ref="MRU78:MRV78"/>
    <mergeCell ref="MRW78:MRX78"/>
    <mergeCell ref="MRE78:MRF78"/>
    <mergeCell ref="MRG78:MRH78"/>
    <mergeCell ref="MRI78:MRJ78"/>
    <mergeCell ref="MRK78:MRL78"/>
    <mergeCell ref="MRM78:MRN78"/>
    <mergeCell ref="MQU78:MQV78"/>
    <mergeCell ref="MQW78:MQX78"/>
    <mergeCell ref="MQY78:MQZ78"/>
    <mergeCell ref="MRA78:MRB78"/>
    <mergeCell ref="MRC78:MRD78"/>
    <mergeCell ref="MQK78:MQL78"/>
    <mergeCell ref="MQM78:MQN78"/>
    <mergeCell ref="MQO78:MQP78"/>
    <mergeCell ref="MQQ78:MQR78"/>
    <mergeCell ref="MQS78:MQT78"/>
    <mergeCell ref="MTC78:MTD78"/>
    <mergeCell ref="MTE78:MTF78"/>
    <mergeCell ref="MTG78:MTH78"/>
    <mergeCell ref="MTI78:MTJ78"/>
    <mergeCell ref="MTK78:MTL78"/>
    <mergeCell ref="MSS78:MST78"/>
    <mergeCell ref="MSU78:MSV78"/>
    <mergeCell ref="MSW78:MSX78"/>
    <mergeCell ref="MSY78:MSZ78"/>
    <mergeCell ref="MTA78:MTB78"/>
    <mergeCell ref="MSI78:MSJ78"/>
    <mergeCell ref="MSK78:MSL78"/>
    <mergeCell ref="MSM78:MSN78"/>
    <mergeCell ref="MSO78:MSP78"/>
    <mergeCell ref="MSQ78:MSR78"/>
    <mergeCell ref="MRY78:MRZ78"/>
    <mergeCell ref="MSA78:MSB78"/>
    <mergeCell ref="MSC78:MSD78"/>
    <mergeCell ref="MSE78:MSF78"/>
    <mergeCell ref="MSG78:MSH78"/>
    <mergeCell ref="MUQ78:MUR78"/>
    <mergeCell ref="MUS78:MUT78"/>
    <mergeCell ref="MUU78:MUV78"/>
    <mergeCell ref="MUW78:MUX78"/>
    <mergeCell ref="MUY78:MUZ78"/>
    <mergeCell ref="MUG78:MUH78"/>
    <mergeCell ref="MUI78:MUJ78"/>
    <mergeCell ref="MUK78:MUL78"/>
    <mergeCell ref="MUM78:MUN78"/>
    <mergeCell ref="MUO78:MUP78"/>
    <mergeCell ref="MTW78:MTX78"/>
    <mergeCell ref="MTY78:MTZ78"/>
    <mergeCell ref="MUA78:MUB78"/>
    <mergeCell ref="MUC78:MUD78"/>
    <mergeCell ref="MUE78:MUF78"/>
    <mergeCell ref="MTM78:MTN78"/>
    <mergeCell ref="MTO78:MTP78"/>
    <mergeCell ref="MTQ78:MTR78"/>
    <mergeCell ref="MTS78:MTT78"/>
    <mergeCell ref="MTU78:MTV78"/>
    <mergeCell ref="MWE78:MWF78"/>
    <mergeCell ref="MWG78:MWH78"/>
    <mergeCell ref="MWI78:MWJ78"/>
    <mergeCell ref="MWK78:MWL78"/>
    <mergeCell ref="MWM78:MWN78"/>
    <mergeCell ref="MVU78:MVV78"/>
    <mergeCell ref="MVW78:MVX78"/>
    <mergeCell ref="MVY78:MVZ78"/>
    <mergeCell ref="MWA78:MWB78"/>
    <mergeCell ref="MWC78:MWD78"/>
    <mergeCell ref="MVK78:MVL78"/>
    <mergeCell ref="MVM78:MVN78"/>
    <mergeCell ref="MVO78:MVP78"/>
    <mergeCell ref="MVQ78:MVR78"/>
    <mergeCell ref="MVS78:MVT78"/>
    <mergeCell ref="MVA78:MVB78"/>
    <mergeCell ref="MVC78:MVD78"/>
    <mergeCell ref="MVE78:MVF78"/>
    <mergeCell ref="MVG78:MVH78"/>
    <mergeCell ref="MVI78:MVJ78"/>
    <mergeCell ref="MXS78:MXT78"/>
    <mergeCell ref="MXU78:MXV78"/>
    <mergeCell ref="MXW78:MXX78"/>
    <mergeCell ref="MXY78:MXZ78"/>
    <mergeCell ref="MYA78:MYB78"/>
    <mergeCell ref="MXI78:MXJ78"/>
    <mergeCell ref="MXK78:MXL78"/>
    <mergeCell ref="MXM78:MXN78"/>
    <mergeCell ref="MXO78:MXP78"/>
    <mergeCell ref="MXQ78:MXR78"/>
    <mergeCell ref="MWY78:MWZ78"/>
    <mergeCell ref="MXA78:MXB78"/>
    <mergeCell ref="MXC78:MXD78"/>
    <mergeCell ref="MXE78:MXF78"/>
    <mergeCell ref="MXG78:MXH78"/>
    <mergeCell ref="MWO78:MWP78"/>
    <mergeCell ref="MWQ78:MWR78"/>
    <mergeCell ref="MWS78:MWT78"/>
    <mergeCell ref="MWU78:MWV78"/>
    <mergeCell ref="MWW78:MWX78"/>
    <mergeCell ref="MZG78:MZH78"/>
    <mergeCell ref="MZI78:MZJ78"/>
    <mergeCell ref="MZK78:MZL78"/>
    <mergeCell ref="MZM78:MZN78"/>
    <mergeCell ref="MZO78:MZP78"/>
    <mergeCell ref="MYW78:MYX78"/>
    <mergeCell ref="MYY78:MYZ78"/>
    <mergeCell ref="MZA78:MZB78"/>
    <mergeCell ref="MZC78:MZD78"/>
    <mergeCell ref="MZE78:MZF78"/>
    <mergeCell ref="MYM78:MYN78"/>
    <mergeCell ref="MYO78:MYP78"/>
    <mergeCell ref="MYQ78:MYR78"/>
    <mergeCell ref="MYS78:MYT78"/>
    <mergeCell ref="MYU78:MYV78"/>
    <mergeCell ref="MYC78:MYD78"/>
    <mergeCell ref="MYE78:MYF78"/>
    <mergeCell ref="MYG78:MYH78"/>
    <mergeCell ref="MYI78:MYJ78"/>
    <mergeCell ref="MYK78:MYL78"/>
    <mergeCell ref="NAU78:NAV78"/>
    <mergeCell ref="NAW78:NAX78"/>
    <mergeCell ref="NAY78:NAZ78"/>
    <mergeCell ref="NBA78:NBB78"/>
    <mergeCell ref="NBC78:NBD78"/>
    <mergeCell ref="NAK78:NAL78"/>
    <mergeCell ref="NAM78:NAN78"/>
    <mergeCell ref="NAO78:NAP78"/>
    <mergeCell ref="NAQ78:NAR78"/>
    <mergeCell ref="NAS78:NAT78"/>
    <mergeCell ref="NAA78:NAB78"/>
    <mergeCell ref="NAC78:NAD78"/>
    <mergeCell ref="NAE78:NAF78"/>
    <mergeCell ref="NAG78:NAH78"/>
    <mergeCell ref="NAI78:NAJ78"/>
    <mergeCell ref="MZQ78:MZR78"/>
    <mergeCell ref="MZS78:MZT78"/>
    <mergeCell ref="MZU78:MZV78"/>
    <mergeCell ref="MZW78:MZX78"/>
    <mergeCell ref="MZY78:MZZ78"/>
    <mergeCell ref="NCI78:NCJ78"/>
    <mergeCell ref="NCK78:NCL78"/>
    <mergeCell ref="NCM78:NCN78"/>
    <mergeCell ref="NCO78:NCP78"/>
    <mergeCell ref="NCQ78:NCR78"/>
    <mergeCell ref="NBY78:NBZ78"/>
    <mergeCell ref="NCA78:NCB78"/>
    <mergeCell ref="NCC78:NCD78"/>
    <mergeCell ref="NCE78:NCF78"/>
    <mergeCell ref="NCG78:NCH78"/>
    <mergeCell ref="NBO78:NBP78"/>
    <mergeCell ref="NBQ78:NBR78"/>
    <mergeCell ref="NBS78:NBT78"/>
    <mergeCell ref="NBU78:NBV78"/>
    <mergeCell ref="NBW78:NBX78"/>
    <mergeCell ref="NBE78:NBF78"/>
    <mergeCell ref="NBG78:NBH78"/>
    <mergeCell ref="NBI78:NBJ78"/>
    <mergeCell ref="NBK78:NBL78"/>
    <mergeCell ref="NBM78:NBN78"/>
    <mergeCell ref="NDW78:NDX78"/>
    <mergeCell ref="NDY78:NDZ78"/>
    <mergeCell ref="NEA78:NEB78"/>
    <mergeCell ref="NEC78:NED78"/>
    <mergeCell ref="NEE78:NEF78"/>
    <mergeCell ref="NDM78:NDN78"/>
    <mergeCell ref="NDO78:NDP78"/>
    <mergeCell ref="NDQ78:NDR78"/>
    <mergeCell ref="NDS78:NDT78"/>
    <mergeCell ref="NDU78:NDV78"/>
    <mergeCell ref="NDC78:NDD78"/>
    <mergeCell ref="NDE78:NDF78"/>
    <mergeCell ref="NDG78:NDH78"/>
    <mergeCell ref="NDI78:NDJ78"/>
    <mergeCell ref="NDK78:NDL78"/>
    <mergeCell ref="NCS78:NCT78"/>
    <mergeCell ref="NCU78:NCV78"/>
    <mergeCell ref="NCW78:NCX78"/>
    <mergeCell ref="NCY78:NCZ78"/>
    <mergeCell ref="NDA78:NDB78"/>
    <mergeCell ref="NFK78:NFL78"/>
    <mergeCell ref="NFM78:NFN78"/>
    <mergeCell ref="NFO78:NFP78"/>
    <mergeCell ref="NFQ78:NFR78"/>
    <mergeCell ref="NFS78:NFT78"/>
    <mergeCell ref="NFA78:NFB78"/>
    <mergeCell ref="NFC78:NFD78"/>
    <mergeCell ref="NFE78:NFF78"/>
    <mergeCell ref="NFG78:NFH78"/>
    <mergeCell ref="NFI78:NFJ78"/>
    <mergeCell ref="NEQ78:NER78"/>
    <mergeCell ref="NES78:NET78"/>
    <mergeCell ref="NEU78:NEV78"/>
    <mergeCell ref="NEW78:NEX78"/>
    <mergeCell ref="NEY78:NEZ78"/>
    <mergeCell ref="NEG78:NEH78"/>
    <mergeCell ref="NEI78:NEJ78"/>
    <mergeCell ref="NEK78:NEL78"/>
    <mergeCell ref="NEM78:NEN78"/>
    <mergeCell ref="NEO78:NEP78"/>
    <mergeCell ref="NGY78:NGZ78"/>
    <mergeCell ref="NHA78:NHB78"/>
    <mergeCell ref="NHC78:NHD78"/>
    <mergeCell ref="NHE78:NHF78"/>
    <mergeCell ref="NHG78:NHH78"/>
    <mergeCell ref="NGO78:NGP78"/>
    <mergeCell ref="NGQ78:NGR78"/>
    <mergeCell ref="NGS78:NGT78"/>
    <mergeCell ref="NGU78:NGV78"/>
    <mergeCell ref="NGW78:NGX78"/>
    <mergeCell ref="NGE78:NGF78"/>
    <mergeCell ref="NGG78:NGH78"/>
    <mergeCell ref="NGI78:NGJ78"/>
    <mergeCell ref="NGK78:NGL78"/>
    <mergeCell ref="NGM78:NGN78"/>
    <mergeCell ref="NFU78:NFV78"/>
    <mergeCell ref="NFW78:NFX78"/>
    <mergeCell ref="NFY78:NFZ78"/>
    <mergeCell ref="NGA78:NGB78"/>
    <mergeCell ref="NGC78:NGD78"/>
    <mergeCell ref="NIM78:NIN78"/>
    <mergeCell ref="NIO78:NIP78"/>
    <mergeCell ref="NIQ78:NIR78"/>
    <mergeCell ref="NIS78:NIT78"/>
    <mergeCell ref="NIU78:NIV78"/>
    <mergeCell ref="NIC78:NID78"/>
    <mergeCell ref="NIE78:NIF78"/>
    <mergeCell ref="NIG78:NIH78"/>
    <mergeCell ref="NII78:NIJ78"/>
    <mergeCell ref="NIK78:NIL78"/>
    <mergeCell ref="NHS78:NHT78"/>
    <mergeCell ref="NHU78:NHV78"/>
    <mergeCell ref="NHW78:NHX78"/>
    <mergeCell ref="NHY78:NHZ78"/>
    <mergeCell ref="NIA78:NIB78"/>
    <mergeCell ref="NHI78:NHJ78"/>
    <mergeCell ref="NHK78:NHL78"/>
    <mergeCell ref="NHM78:NHN78"/>
    <mergeCell ref="NHO78:NHP78"/>
    <mergeCell ref="NHQ78:NHR78"/>
    <mergeCell ref="NKA78:NKB78"/>
    <mergeCell ref="NKC78:NKD78"/>
    <mergeCell ref="NKE78:NKF78"/>
    <mergeCell ref="NKG78:NKH78"/>
    <mergeCell ref="NKI78:NKJ78"/>
    <mergeCell ref="NJQ78:NJR78"/>
    <mergeCell ref="NJS78:NJT78"/>
    <mergeCell ref="NJU78:NJV78"/>
    <mergeCell ref="NJW78:NJX78"/>
    <mergeCell ref="NJY78:NJZ78"/>
    <mergeCell ref="NJG78:NJH78"/>
    <mergeCell ref="NJI78:NJJ78"/>
    <mergeCell ref="NJK78:NJL78"/>
    <mergeCell ref="NJM78:NJN78"/>
    <mergeCell ref="NJO78:NJP78"/>
    <mergeCell ref="NIW78:NIX78"/>
    <mergeCell ref="NIY78:NIZ78"/>
    <mergeCell ref="NJA78:NJB78"/>
    <mergeCell ref="NJC78:NJD78"/>
    <mergeCell ref="NJE78:NJF78"/>
    <mergeCell ref="NLO78:NLP78"/>
    <mergeCell ref="NLQ78:NLR78"/>
    <mergeCell ref="NLS78:NLT78"/>
    <mergeCell ref="NLU78:NLV78"/>
    <mergeCell ref="NLW78:NLX78"/>
    <mergeCell ref="NLE78:NLF78"/>
    <mergeCell ref="NLG78:NLH78"/>
    <mergeCell ref="NLI78:NLJ78"/>
    <mergeCell ref="NLK78:NLL78"/>
    <mergeCell ref="NLM78:NLN78"/>
    <mergeCell ref="NKU78:NKV78"/>
    <mergeCell ref="NKW78:NKX78"/>
    <mergeCell ref="NKY78:NKZ78"/>
    <mergeCell ref="NLA78:NLB78"/>
    <mergeCell ref="NLC78:NLD78"/>
    <mergeCell ref="NKK78:NKL78"/>
    <mergeCell ref="NKM78:NKN78"/>
    <mergeCell ref="NKO78:NKP78"/>
    <mergeCell ref="NKQ78:NKR78"/>
    <mergeCell ref="NKS78:NKT78"/>
    <mergeCell ref="NNC78:NND78"/>
    <mergeCell ref="NNE78:NNF78"/>
    <mergeCell ref="NNG78:NNH78"/>
    <mergeCell ref="NNI78:NNJ78"/>
    <mergeCell ref="NNK78:NNL78"/>
    <mergeCell ref="NMS78:NMT78"/>
    <mergeCell ref="NMU78:NMV78"/>
    <mergeCell ref="NMW78:NMX78"/>
    <mergeCell ref="NMY78:NMZ78"/>
    <mergeCell ref="NNA78:NNB78"/>
    <mergeCell ref="NMI78:NMJ78"/>
    <mergeCell ref="NMK78:NML78"/>
    <mergeCell ref="NMM78:NMN78"/>
    <mergeCell ref="NMO78:NMP78"/>
    <mergeCell ref="NMQ78:NMR78"/>
    <mergeCell ref="NLY78:NLZ78"/>
    <mergeCell ref="NMA78:NMB78"/>
    <mergeCell ref="NMC78:NMD78"/>
    <mergeCell ref="NME78:NMF78"/>
    <mergeCell ref="NMG78:NMH78"/>
    <mergeCell ref="NOQ78:NOR78"/>
    <mergeCell ref="NOS78:NOT78"/>
    <mergeCell ref="NOU78:NOV78"/>
    <mergeCell ref="NOW78:NOX78"/>
    <mergeCell ref="NOY78:NOZ78"/>
    <mergeCell ref="NOG78:NOH78"/>
    <mergeCell ref="NOI78:NOJ78"/>
    <mergeCell ref="NOK78:NOL78"/>
    <mergeCell ref="NOM78:NON78"/>
    <mergeCell ref="NOO78:NOP78"/>
    <mergeCell ref="NNW78:NNX78"/>
    <mergeCell ref="NNY78:NNZ78"/>
    <mergeCell ref="NOA78:NOB78"/>
    <mergeCell ref="NOC78:NOD78"/>
    <mergeCell ref="NOE78:NOF78"/>
    <mergeCell ref="NNM78:NNN78"/>
    <mergeCell ref="NNO78:NNP78"/>
    <mergeCell ref="NNQ78:NNR78"/>
    <mergeCell ref="NNS78:NNT78"/>
    <mergeCell ref="NNU78:NNV78"/>
    <mergeCell ref="NQE78:NQF78"/>
    <mergeCell ref="NQG78:NQH78"/>
    <mergeCell ref="NQI78:NQJ78"/>
    <mergeCell ref="NQK78:NQL78"/>
    <mergeCell ref="NQM78:NQN78"/>
    <mergeCell ref="NPU78:NPV78"/>
    <mergeCell ref="NPW78:NPX78"/>
    <mergeCell ref="NPY78:NPZ78"/>
    <mergeCell ref="NQA78:NQB78"/>
    <mergeCell ref="NQC78:NQD78"/>
    <mergeCell ref="NPK78:NPL78"/>
    <mergeCell ref="NPM78:NPN78"/>
    <mergeCell ref="NPO78:NPP78"/>
    <mergeCell ref="NPQ78:NPR78"/>
    <mergeCell ref="NPS78:NPT78"/>
    <mergeCell ref="NPA78:NPB78"/>
    <mergeCell ref="NPC78:NPD78"/>
    <mergeCell ref="NPE78:NPF78"/>
    <mergeCell ref="NPG78:NPH78"/>
    <mergeCell ref="NPI78:NPJ78"/>
    <mergeCell ref="NRS78:NRT78"/>
    <mergeCell ref="NRU78:NRV78"/>
    <mergeCell ref="NRW78:NRX78"/>
    <mergeCell ref="NRY78:NRZ78"/>
    <mergeCell ref="NSA78:NSB78"/>
    <mergeCell ref="NRI78:NRJ78"/>
    <mergeCell ref="NRK78:NRL78"/>
    <mergeCell ref="NRM78:NRN78"/>
    <mergeCell ref="NRO78:NRP78"/>
    <mergeCell ref="NRQ78:NRR78"/>
    <mergeCell ref="NQY78:NQZ78"/>
    <mergeCell ref="NRA78:NRB78"/>
    <mergeCell ref="NRC78:NRD78"/>
    <mergeCell ref="NRE78:NRF78"/>
    <mergeCell ref="NRG78:NRH78"/>
    <mergeCell ref="NQO78:NQP78"/>
    <mergeCell ref="NQQ78:NQR78"/>
    <mergeCell ref="NQS78:NQT78"/>
    <mergeCell ref="NQU78:NQV78"/>
    <mergeCell ref="NQW78:NQX78"/>
    <mergeCell ref="NTG78:NTH78"/>
    <mergeCell ref="NTI78:NTJ78"/>
    <mergeCell ref="NTK78:NTL78"/>
    <mergeCell ref="NTM78:NTN78"/>
    <mergeCell ref="NTO78:NTP78"/>
    <mergeCell ref="NSW78:NSX78"/>
    <mergeCell ref="NSY78:NSZ78"/>
    <mergeCell ref="NTA78:NTB78"/>
    <mergeCell ref="NTC78:NTD78"/>
    <mergeCell ref="NTE78:NTF78"/>
    <mergeCell ref="NSM78:NSN78"/>
    <mergeCell ref="NSO78:NSP78"/>
    <mergeCell ref="NSQ78:NSR78"/>
    <mergeCell ref="NSS78:NST78"/>
    <mergeCell ref="NSU78:NSV78"/>
    <mergeCell ref="NSC78:NSD78"/>
    <mergeCell ref="NSE78:NSF78"/>
    <mergeCell ref="NSG78:NSH78"/>
    <mergeCell ref="NSI78:NSJ78"/>
    <mergeCell ref="NSK78:NSL78"/>
    <mergeCell ref="NUU78:NUV78"/>
    <mergeCell ref="NUW78:NUX78"/>
    <mergeCell ref="NUY78:NUZ78"/>
    <mergeCell ref="NVA78:NVB78"/>
    <mergeCell ref="NVC78:NVD78"/>
    <mergeCell ref="NUK78:NUL78"/>
    <mergeCell ref="NUM78:NUN78"/>
    <mergeCell ref="NUO78:NUP78"/>
    <mergeCell ref="NUQ78:NUR78"/>
    <mergeCell ref="NUS78:NUT78"/>
    <mergeCell ref="NUA78:NUB78"/>
    <mergeCell ref="NUC78:NUD78"/>
    <mergeCell ref="NUE78:NUF78"/>
    <mergeCell ref="NUG78:NUH78"/>
    <mergeCell ref="NUI78:NUJ78"/>
    <mergeCell ref="NTQ78:NTR78"/>
    <mergeCell ref="NTS78:NTT78"/>
    <mergeCell ref="NTU78:NTV78"/>
    <mergeCell ref="NTW78:NTX78"/>
    <mergeCell ref="NTY78:NTZ78"/>
    <mergeCell ref="NWI78:NWJ78"/>
    <mergeCell ref="NWK78:NWL78"/>
    <mergeCell ref="NWM78:NWN78"/>
    <mergeCell ref="NWO78:NWP78"/>
    <mergeCell ref="NWQ78:NWR78"/>
    <mergeCell ref="NVY78:NVZ78"/>
    <mergeCell ref="NWA78:NWB78"/>
    <mergeCell ref="NWC78:NWD78"/>
    <mergeCell ref="NWE78:NWF78"/>
    <mergeCell ref="NWG78:NWH78"/>
    <mergeCell ref="NVO78:NVP78"/>
    <mergeCell ref="NVQ78:NVR78"/>
    <mergeCell ref="NVS78:NVT78"/>
    <mergeCell ref="NVU78:NVV78"/>
    <mergeCell ref="NVW78:NVX78"/>
    <mergeCell ref="NVE78:NVF78"/>
    <mergeCell ref="NVG78:NVH78"/>
    <mergeCell ref="NVI78:NVJ78"/>
    <mergeCell ref="NVK78:NVL78"/>
    <mergeCell ref="NVM78:NVN78"/>
    <mergeCell ref="NXW78:NXX78"/>
    <mergeCell ref="NXY78:NXZ78"/>
    <mergeCell ref="NYA78:NYB78"/>
    <mergeCell ref="NYC78:NYD78"/>
    <mergeCell ref="NYE78:NYF78"/>
    <mergeCell ref="NXM78:NXN78"/>
    <mergeCell ref="NXO78:NXP78"/>
    <mergeCell ref="NXQ78:NXR78"/>
    <mergeCell ref="NXS78:NXT78"/>
    <mergeCell ref="NXU78:NXV78"/>
    <mergeCell ref="NXC78:NXD78"/>
    <mergeCell ref="NXE78:NXF78"/>
    <mergeCell ref="NXG78:NXH78"/>
    <mergeCell ref="NXI78:NXJ78"/>
    <mergeCell ref="NXK78:NXL78"/>
    <mergeCell ref="NWS78:NWT78"/>
    <mergeCell ref="NWU78:NWV78"/>
    <mergeCell ref="NWW78:NWX78"/>
    <mergeCell ref="NWY78:NWZ78"/>
    <mergeCell ref="NXA78:NXB78"/>
    <mergeCell ref="NZK78:NZL78"/>
    <mergeCell ref="NZM78:NZN78"/>
    <mergeCell ref="NZO78:NZP78"/>
    <mergeCell ref="NZQ78:NZR78"/>
    <mergeCell ref="NZS78:NZT78"/>
    <mergeCell ref="NZA78:NZB78"/>
    <mergeCell ref="NZC78:NZD78"/>
    <mergeCell ref="NZE78:NZF78"/>
    <mergeCell ref="NZG78:NZH78"/>
    <mergeCell ref="NZI78:NZJ78"/>
    <mergeCell ref="NYQ78:NYR78"/>
    <mergeCell ref="NYS78:NYT78"/>
    <mergeCell ref="NYU78:NYV78"/>
    <mergeCell ref="NYW78:NYX78"/>
    <mergeCell ref="NYY78:NYZ78"/>
    <mergeCell ref="NYG78:NYH78"/>
    <mergeCell ref="NYI78:NYJ78"/>
    <mergeCell ref="NYK78:NYL78"/>
    <mergeCell ref="NYM78:NYN78"/>
    <mergeCell ref="NYO78:NYP78"/>
    <mergeCell ref="OAY78:OAZ78"/>
    <mergeCell ref="OBA78:OBB78"/>
    <mergeCell ref="OBC78:OBD78"/>
    <mergeCell ref="OBE78:OBF78"/>
    <mergeCell ref="OBG78:OBH78"/>
    <mergeCell ref="OAO78:OAP78"/>
    <mergeCell ref="OAQ78:OAR78"/>
    <mergeCell ref="OAS78:OAT78"/>
    <mergeCell ref="OAU78:OAV78"/>
    <mergeCell ref="OAW78:OAX78"/>
    <mergeCell ref="OAE78:OAF78"/>
    <mergeCell ref="OAG78:OAH78"/>
    <mergeCell ref="OAI78:OAJ78"/>
    <mergeCell ref="OAK78:OAL78"/>
    <mergeCell ref="OAM78:OAN78"/>
    <mergeCell ref="NZU78:NZV78"/>
    <mergeCell ref="NZW78:NZX78"/>
    <mergeCell ref="NZY78:NZZ78"/>
    <mergeCell ref="OAA78:OAB78"/>
    <mergeCell ref="OAC78:OAD78"/>
    <mergeCell ref="OCM78:OCN78"/>
    <mergeCell ref="OCO78:OCP78"/>
    <mergeCell ref="OCQ78:OCR78"/>
    <mergeCell ref="OCS78:OCT78"/>
    <mergeCell ref="OCU78:OCV78"/>
    <mergeCell ref="OCC78:OCD78"/>
    <mergeCell ref="OCE78:OCF78"/>
    <mergeCell ref="OCG78:OCH78"/>
    <mergeCell ref="OCI78:OCJ78"/>
    <mergeCell ref="OCK78:OCL78"/>
    <mergeCell ref="OBS78:OBT78"/>
    <mergeCell ref="OBU78:OBV78"/>
    <mergeCell ref="OBW78:OBX78"/>
    <mergeCell ref="OBY78:OBZ78"/>
    <mergeCell ref="OCA78:OCB78"/>
    <mergeCell ref="OBI78:OBJ78"/>
    <mergeCell ref="OBK78:OBL78"/>
    <mergeCell ref="OBM78:OBN78"/>
    <mergeCell ref="OBO78:OBP78"/>
    <mergeCell ref="OBQ78:OBR78"/>
    <mergeCell ref="OEA78:OEB78"/>
    <mergeCell ref="OEC78:OED78"/>
    <mergeCell ref="OEE78:OEF78"/>
    <mergeCell ref="OEG78:OEH78"/>
    <mergeCell ref="OEI78:OEJ78"/>
    <mergeCell ref="ODQ78:ODR78"/>
    <mergeCell ref="ODS78:ODT78"/>
    <mergeCell ref="ODU78:ODV78"/>
    <mergeCell ref="ODW78:ODX78"/>
    <mergeCell ref="ODY78:ODZ78"/>
    <mergeCell ref="ODG78:ODH78"/>
    <mergeCell ref="ODI78:ODJ78"/>
    <mergeCell ref="ODK78:ODL78"/>
    <mergeCell ref="ODM78:ODN78"/>
    <mergeCell ref="ODO78:ODP78"/>
    <mergeCell ref="OCW78:OCX78"/>
    <mergeCell ref="OCY78:OCZ78"/>
    <mergeCell ref="ODA78:ODB78"/>
    <mergeCell ref="ODC78:ODD78"/>
    <mergeCell ref="ODE78:ODF78"/>
    <mergeCell ref="OFO78:OFP78"/>
    <mergeCell ref="OFQ78:OFR78"/>
    <mergeCell ref="OFS78:OFT78"/>
    <mergeCell ref="OFU78:OFV78"/>
    <mergeCell ref="OFW78:OFX78"/>
    <mergeCell ref="OFE78:OFF78"/>
    <mergeCell ref="OFG78:OFH78"/>
    <mergeCell ref="OFI78:OFJ78"/>
    <mergeCell ref="OFK78:OFL78"/>
    <mergeCell ref="OFM78:OFN78"/>
    <mergeCell ref="OEU78:OEV78"/>
    <mergeCell ref="OEW78:OEX78"/>
    <mergeCell ref="OEY78:OEZ78"/>
    <mergeCell ref="OFA78:OFB78"/>
    <mergeCell ref="OFC78:OFD78"/>
    <mergeCell ref="OEK78:OEL78"/>
    <mergeCell ref="OEM78:OEN78"/>
    <mergeCell ref="OEO78:OEP78"/>
    <mergeCell ref="OEQ78:OER78"/>
    <mergeCell ref="OES78:OET78"/>
    <mergeCell ref="OHC78:OHD78"/>
    <mergeCell ref="OHE78:OHF78"/>
    <mergeCell ref="OHG78:OHH78"/>
    <mergeCell ref="OHI78:OHJ78"/>
    <mergeCell ref="OHK78:OHL78"/>
    <mergeCell ref="OGS78:OGT78"/>
    <mergeCell ref="OGU78:OGV78"/>
    <mergeCell ref="OGW78:OGX78"/>
    <mergeCell ref="OGY78:OGZ78"/>
    <mergeCell ref="OHA78:OHB78"/>
    <mergeCell ref="OGI78:OGJ78"/>
    <mergeCell ref="OGK78:OGL78"/>
    <mergeCell ref="OGM78:OGN78"/>
    <mergeCell ref="OGO78:OGP78"/>
    <mergeCell ref="OGQ78:OGR78"/>
    <mergeCell ref="OFY78:OFZ78"/>
    <mergeCell ref="OGA78:OGB78"/>
    <mergeCell ref="OGC78:OGD78"/>
    <mergeCell ref="OGE78:OGF78"/>
    <mergeCell ref="OGG78:OGH78"/>
    <mergeCell ref="OIQ78:OIR78"/>
    <mergeCell ref="OIS78:OIT78"/>
    <mergeCell ref="OIU78:OIV78"/>
    <mergeCell ref="OIW78:OIX78"/>
    <mergeCell ref="OIY78:OIZ78"/>
    <mergeCell ref="OIG78:OIH78"/>
    <mergeCell ref="OII78:OIJ78"/>
    <mergeCell ref="OIK78:OIL78"/>
    <mergeCell ref="OIM78:OIN78"/>
    <mergeCell ref="OIO78:OIP78"/>
    <mergeCell ref="OHW78:OHX78"/>
    <mergeCell ref="OHY78:OHZ78"/>
    <mergeCell ref="OIA78:OIB78"/>
    <mergeCell ref="OIC78:OID78"/>
    <mergeCell ref="OIE78:OIF78"/>
    <mergeCell ref="OHM78:OHN78"/>
    <mergeCell ref="OHO78:OHP78"/>
    <mergeCell ref="OHQ78:OHR78"/>
    <mergeCell ref="OHS78:OHT78"/>
    <mergeCell ref="OHU78:OHV78"/>
    <mergeCell ref="OKE78:OKF78"/>
    <mergeCell ref="OKG78:OKH78"/>
    <mergeCell ref="OKI78:OKJ78"/>
    <mergeCell ref="OKK78:OKL78"/>
    <mergeCell ref="OKM78:OKN78"/>
    <mergeCell ref="OJU78:OJV78"/>
    <mergeCell ref="OJW78:OJX78"/>
    <mergeCell ref="OJY78:OJZ78"/>
    <mergeCell ref="OKA78:OKB78"/>
    <mergeCell ref="OKC78:OKD78"/>
    <mergeCell ref="OJK78:OJL78"/>
    <mergeCell ref="OJM78:OJN78"/>
    <mergeCell ref="OJO78:OJP78"/>
    <mergeCell ref="OJQ78:OJR78"/>
    <mergeCell ref="OJS78:OJT78"/>
    <mergeCell ref="OJA78:OJB78"/>
    <mergeCell ref="OJC78:OJD78"/>
    <mergeCell ref="OJE78:OJF78"/>
    <mergeCell ref="OJG78:OJH78"/>
    <mergeCell ref="OJI78:OJJ78"/>
    <mergeCell ref="OLS78:OLT78"/>
    <mergeCell ref="OLU78:OLV78"/>
    <mergeCell ref="OLW78:OLX78"/>
    <mergeCell ref="OLY78:OLZ78"/>
    <mergeCell ref="OMA78:OMB78"/>
    <mergeCell ref="OLI78:OLJ78"/>
    <mergeCell ref="OLK78:OLL78"/>
    <mergeCell ref="OLM78:OLN78"/>
    <mergeCell ref="OLO78:OLP78"/>
    <mergeCell ref="OLQ78:OLR78"/>
    <mergeCell ref="OKY78:OKZ78"/>
    <mergeCell ref="OLA78:OLB78"/>
    <mergeCell ref="OLC78:OLD78"/>
    <mergeCell ref="OLE78:OLF78"/>
    <mergeCell ref="OLG78:OLH78"/>
    <mergeCell ref="OKO78:OKP78"/>
    <mergeCell ref="OKQ78:OKR78"/>
    <mergeCell ref="OKS78:OKT78"/>
    <mergeCell ref="OKU78:OKV78"/>
    <mergeCell ref="OKW78:OKX78"/>
    <mergeCell ref="ONG78:ONH78"/>
    <mergeCell ref="ONI78:ONJ78"/>
    <mergeCell ref="ONK78:ONL78"/>
    <mergeCell ref="ONM78:ONN78"/>
    <mergeCell ref="ONO78:ONP78"/>
    <mergeCell ref="OMW78:OMX78"/>
    <mergeCell ref="OMY78:OMZ78"/>
    <mergeCell ref="ONA78:ONB78"/>
    <mergeCell ref="ONC78:OND78"/>
    <mergeCell ref="ONE78:ONF78"/>
    <mergeCell ref="OMM78:OMN78"/>
    <mergeCell ref="OMO78:OMP78"/>
    <mergeCell ref="OMQ78:OMR78"/>
    <mergeCell ref="OMS78:OMT78"/>
    <mergeCell ref="OMU78:OMV78"/>
    <mergeCell ref="OMC78:OMD78"/>
    <mergeCell ref="OME78:OMF78"/>
    <mergeCell ref="OMG78:OMH78"/>
    <mergeCell ref="OMI78:OMJ78"/>
    <mergeCell ref="OMK78:OML78"/>
    <mergeCell ref="OOU78:OOV78"/>
    <mergeCell ref="OOW78:OOX78"/>
    <mergeCell ref="OOY78:OOZ78"/>
    <mergeCell ref="OPA78:OPB78"/>
    <mergeCell ref="OPC78:OPD78"/>
    <mergeCell ref="OOK78:OOL78"/>
    <mergeCell ref="OOM78:OON78"/>
    <mergeCell ref="OOO78:OOP78"/>
    <mergeCell ref="OOQ78:OOR78"/>
    <mergeCell ref="OOS78:OOT78"/>
    <mergeCell ref="OOA78:OOB78"/>
    <mergeCell ref="OOC78:OOD78"/>
    <mergeCell ref="OOE78:OOF78"/>
    <mergeCell ref="OOG78:OOH78"/>
    <mergeCell ref="OOI78:OOJ78"/>
    <mergeCell ref="ONQ78:ONR78"/>
    <mergeCell ref="ONS78:ONT78"/>
    <mergeCell ref="ONU78:ONV78"/>
    <mergeCell ref="ONW78:ONX78"/>
    <mergeCell ref="ONY78:ONZ78"/>
    <mergeCell ref="OQI78:OQJ78"/>
    <mergeCell ref="OQK78:OQL78"/>
    <mergeCell ref="OQM78:OQN78"/>
    <mergeCell ref="OQO78:OQP78"/>
    <mergeCell ref="OQQ78:OQR78"/>
    <mergeCell ref="OPY78:OPZ78"/>
    <mergeCell ref="OQA78:OQB78"/>
    <mergeCell ref="OQC78:OQD78"/>
    <mergeCell ref="OQE78:OQF78"/>
    <mergeCell ref="OQG78:OQH78"/>
    <mergeCell ref="OPO78:OPP78"/>
    <mergeCell ref="OPQ78:OPR78"/>
    <mergeCell ref="OPS78:OPT78"/>
    <mergeCell ref="OPU78:OPV78"/>
    <mergeCell ref="OPW78:OPX78"/>
    <mergeCell ref="OPE78:OPF78"/>
    <mergeCell ref="OPG78:OPH78"/>
    <mergeCell ref="OPI78:OPJ78"/>
    <mergeCell ref="OPK78:OPL78"/>
    <mergeCell ref="OPM78:OPN78"/>
    <mergeCell ref="ORW78:ORX78"/>
    <mergeCell ref="ORY78:ORZ78"/>
    <mergeCell ref="OSA78:OSB78"/>
    <mergeCell ref="OSC78:OSD78"/>
    <mergeCell ref="OSE78:OSF78"/>
    <mergeCell ref="ORM78:ORN78"/>
    <mergeCell ref="ORO78:ORP78"/>
    <mergeCell ref="ORQ78:ORR78"/>
    <mergeCell ref="ORS78:ORT78"/>
    <mergeCell ref="ORU78:ORV78"/>
    <mergeCell ref="ORC78:ORD78"/>
    <mergeCell ref="ORE78:ORF78"/>
    <mergeCell ref="ORG78:ORH78"/>
    <mergeCell ref="ORI78:ORJ78"/>
    <mergeCell ref="ORK78:ORL78"/>
    <mergeCell ref="OQS78:OQT78"/>
    <mergeCell ref="OQU78:OQV78"/>
    <mergeCell ref="OQW78:OQX78"/>
    <mergeCell ref="OQY78:OQZ78"/>
    <mergeCell ref="ORA78:ORB78"/>
    <mergeCell ref="OTK78:OTL78"/>
    <mergeCell ref="OTM78:OTN78"/>
    <mergeCell ref="OTO78:OTP78"/>
    <mergeCell ref="OTQ78:OTR78"/>
    <mergeCell ref="OTS78:OTT78"/>
    <mergeCell ref="OTA78:OTB78"/>
    <mergeCell ref="OTC78:OTD78"/>
    <mergeCell ref="OTE78:OTF78"/>
    <mergeCell ref="OTG78:OTH78"/>
    <mergeCell ref="OTI78:OTJ78"/>
    <mergeCell ref="OSQ78:OSR78"/>
    <mergeCell ref="OSS78:OST78"/>
    <mergeCell ref="OSU78:OSV78"/>
    <mergeCell ref="OSW78:OSX78"/>
    <mergeCell ref="OSY78:OSZ78"/>
    <mergeCell ref="OSG78:OSH78"/>
    <mergeCell ref="OSI78:OSJ78"/>
    <mergeCell ref="OSK78:OSL78"/>
    <mergeCell ref="OSM78:OSN78"/>
    <mergeCell ref="OSO78:OSP78"/>
    <mergeCell ref="OUY78:OUZ78"/>
    <mergeCell ref="OVA78:OVB78"/>
    <mergeCell ref="OVC78:OVD78"/>
    <mergeCell ref="OVE78:OVF78"/>
    <mergeCell ref="OVG78:OVH78"/>
    <mergeCell ref="OUO78:OUP78"/>
    <mergeCell ref="OUQ78:OUR78"/>
    <mergeCell ref="OUS78:OUT78"/>
    <mergeCell ref="OUU78:OUV78"/>
    <mergeCell ref="OUW78:OUX78"/>
    <mergeCell ref="OUE78:OUF78"/>
    <mergeCell ref="OUG78:OUH78"/>
    <mergeCell ref="OUI78:OUJ78"/>
    <mergeCell ref="OUK78:OUL78"/>
    <mergeCell ref="OUM78:OUN78"/>
    <mergeCell ref="OTU78:OTV78"/>
    <mergeCell ref="OTW78:OTX78"/>
    <mergeCell ref="OTY78:OTZ78"/>
    <mergeCell ref="OUA78:OUB78"/>
    <mergeCell ref="OUC78:OUD78"/>
    <mergeCell ref="OWM78:OWN78"/>
    <mergeCell ref="OWO78:OWP78"/>
    <mergeCell ref="OWQ78:OWR78"/>
    <mergeCell ref="OWS78:OWT78"/>
    <mergeCell ref="OWU78:OWV78"/>
    <mergeCell ref="OWC78:OWD78"/>
    <mergeCell ref="OWE78:OWF78"/>
    <mergeCell ref="OWG78:OWH78"/>
    <mergeCell ref="OWI78:OWJ78"/>
    <mergeCell ref="OWK78:OWL78"/>
    <mergeCell ref="OVS78:OVT78"/>
    <mergeCell ref="OVU78:OVV78"/>
    <mergeCell ref="OVW78:OVX78"/>
    <mergeCell ref="OVY78:OVZ78"/>
    <mergeCell ref="OWA78:OWB78"/>
    <mergeCell ref="OVI78:OVJ78"/>
    <mergeCell ref="OVK78:OVL78"/>
    <mergeCell ref="OVM78:OVN78"/>
    <mergeCell ref="OVO78:OVP78"/>
    <mergeCell ref="OVQ78:OVR78"/>
    <mergeCell ref="OYA78:OYB78"/>
    <mergeCell ref="OYC78:OYD78"/>
    <mergeCell ref="OYE78:OYF78"/>
    <mergeCell ref="OYG78:OYH78"/>
    <mergeCell ref="OYI78:OYJ78"/>
    <mergeCell ref="OXQ78:OXR78"/>
    <mergeCell ref="OXS78:OXT78"/>
    <mergeCell ref="OXU78:OXV78"/>
    <mergeCell ref="OXW78:OXX78"/>
    <mergeCell ref="OXY78:OXZ78"/>
    <mergeCell ref="OXG78:OXH78"/>
    <mergeCell ref="OXI78:OXJ78"/>
    <mergeCell ref="OXK78:OXL78"/>
    <mergeCell ref="OXM78:OXN78"/>
    <mergeCell ref="OXO78:OXP78"/>
    <mergeCell ref="OWW78:OWX78"/>
    <mergeCell ref="OWY78:OWZ78"/>
    <mergeCell ref="OXA78:OXB78"/>
    <mergeCell ref="OXC78:OXD78"/>
    <mergeCell ref="OXE78:OXF78"/>
    <mergeCell ref="OZO78:OZP78"/>
    <mergeCell ref="OZQ78:OZR78"/>
    <mergeCell ref="OZS78:OZT78"/>
    <mergeCell ref="OZU78:OZV78"/>
    <mergeCell ref="OZW78:OZX78"/>
    <mergeCell ref="OZE78:OZF78"/>
    <mergeCell ref="OZG78:OZH78"/>
    <mergeCell ref="OZI78:OZJ78"/>
    <mergeCell ref="OZK78:OZL78"/>
    <mergeCell ref="OZM78:OZN78"/>
    <mergeCell ref="OYU78:OYV78"/>
    <mergeCell ref="OYW78:OYX78"/>
    <mergeCell ref="OYY78:OYZ78"/>
    <mergeCell ref="OZA78:OZB78"/>
    <mergeCell ref="OZC78:OZD78"/>
    <mergeCell ref="OYK78:OYL78"/>
    <mergeCell ref="OYM78:OYN78"/>
    <mergeCell ref="OYO78:OYP78"/>
    <mergeCell ref="OYQ78:OYR78"/>
    <mergeCell ref="OYS78:OYT78"/>
    <mergeCell ref="PBC78:PBD78"/>
    <mergeCell ref="PBE78:PBF78"/>
    <mergeCell ref="PBG78:PBH78"/>
    <mergeCell ref="PBI78:PBJ78"/>
    <mergeCell ref="PBK78:PBL78"/>
    <mergeCell ref="PAS78:PAT78"/>
    <mergeCell ref="PAU78:PAV78"/>
    <mergeCell ref="PAW78:PAX78"/>
    <mergeCell ref="PAY78:PAZ78"/>
    <mergeCell ref="PBA78:PBB78"/>
    <mergeCell ref="PAI78:PAJ78"/>
    <mergeCell ref="PAK78:PAL78"/>
    <mergeCell ref="PAM78:PAN78"/>
    <mergeCell ref="PAO78:PAP78"/>
    <mergeCell ref="PAQ78:PAR78"/>
    <mergeCell ref="OZY78:OZZ78"/>
    <mergeCell ref="PAA78:PAB78"/>
    <mergeCell ref="PAC78:PAD78"/>
    <mergeCell ref="PAE78:PAF78"/>
    <mergeCell ref="PAG78:PAH78"/>
    <mergeCell ref="PCQ78:PCR78"/>
    <mergeCell ref="PCS78:PCT78"/>
    <mergeCell ref="PCU78:PCV78"/>
    <mergeCell ref="PCW78:PCX78"/>
    <mergeCell ref="PCY78:PCZ78"/>
    <mergeCell ref="PCG78:PCH78"/>
    <mergeCell ref="PCI78:PCJ78"/>
    <mergeCell ref="PCK78:PCL78"/>
    <mergeCell ref="PCM78:PCN78"/>
    <mergeCell ref="PCO78:PCP78"/>
    <mergeCell ref="PBW78:PBX78"/>
    <mergeCell ref="PBY78:PBZ78"/>
    <mergeCell ref="PCA78:PCB78"/>
    <mergeCell ref="PCC78:PCD78"/>
    <mergeCell ref="PCE78:PCF78"/>
    <mergeCell ref="PBM78:PBN78"/>
    <mergeCell ref="PBO78:PBP78"/>
    <mergeCell ref="PBQ78:PBR78"/>
    <mergeCell ref="PBS78:PBT78"/>
    <mergeCell ref="PBU78:PBV78"/>
    <mergeCell ref="PEE78:PEF78"/>
    <mergeCell ref="PEG78:PEH78"/>
    <mergeCell ref="PEI78:PEJ78"/>
    <mergeCell ref="PEK78:PEL78"/>
    <mergeCell ref="PEM78:PEN78"/>
    <mergeCell ref="PDU78:PDV78"/>
    <mergeCell ref="PDW78:PDX78"/>
    <mergeCell ref="PDY78:PDZ78"/>
    <mergeCell ref="PEA78:PEB78"/>
    <mergeCell ref="PEC78:PED78"/>
    <mergeCell ref="PDK78:PDL78"/>
    <mergeCell ref="PDM78:PDN78"/>
    <mergeCell ref="PDO78:PDP78"/>
    <mergeCell ref="PDQ78:PDR78"/>
    <mergeCell ref="PDS78:PDT78"/>
    <mergeCell ref="PDA78:PDB78"/>
    <mergeCell ref="PDC78:PDD78"/>
    <mergeCell ref="PDE78:PDF78"/>
    <mergeCell ref="PDG78:PDH78"/>
    <mergeCell ref="PDI78:PDJ78"/>
    <mergeCell ref="PFS78:PFT78"/>
    <mergeCell ref="PFU78:PFV78"/>
    <mergeCell ref="PFW78:PFX78"/>
    <mergeCell ref="PFY78:PFZ78"/>
    <mergeCell ref="PGA78:PGB78"/>
    <mergeCell ref="PFI78:PFJ78"/>
    <mergeCell ref="PFK78:PFL78"/>
    <mergeCell ref="PFM78:PFN78"/>
    <mergeCell ref="PFO78:PFP78"/>
    <mergeCell ref="PFQ78:PFR78"/>
    <mergeCell ref="PEY78:PEZ78"/>
    <mergeCell ref="PFA78:PFB78"/>
    <mergeCell ref="PFC78:PFD78"/>
    <mergeCell ref="PFE78:PFF78"/>
    <mergeCell ref="PFG78:PFH78"/>
    <mergeCell ref="PEO78:PEP78"/>
    <mergeCell ref="PEQ78:PER78"/>
    <mergeCell ref="PES78:PET78"/>
    <mergeCell ref="PEU78:PEV78"/>
    <mergeCell ref="PEW78:PEX78"/>
    <mergeCell ref="PHG78:PHH78"/>
    <mergeCell ref="PHI78:PHJ78"/>
    <mergeCell ref="PHK78:PHL78"/>
    <mergeCell ref="PHM78:PHN78"/>
    <mergeCell ref="PHO78:PHP78"/>
    <mergeCell ref="PGW78:PGX78"/>
    <mergeCell ref="PGY78:PGZ78"/>
    <mergeCell ref="PHA78:PHB78"/>
    <mergeCell ref="PHC78:PHD78"/>
    <mergeCell ref="PHE78:PHF78"/>
    <mergeCell ref="PGM78:PGN78"/>
    <mergeCell ref="PGO78:PGP78"/>
    <mergeCell ref="PGQ78:PGR78"/>
    <mergeCell ref="PGS78:PGT78"/>
    <mergeCell ref="PGU78:PGV78"/>
    <mergeCell ref="PGC78:PGD78"/>
    <mergeCell ref="PGE78:PGF78"/>
    <mergeCell ref="PGG78:PGH78"/>
    <mergeCell ref="PGI78:PGJ78"/>
    <mergeCell ref="PGK78:PGL78"/>
    <mergeCell ref="PIU78:PIV78"/>
    <mergeCell ref="PIW78:PIX78"/>
    <mergeCell ref="PIY78:PIZ78"/>
    <mergeCell ref="PJA78:PJB78"/>
    <mergeCell ref="PJC78:PJD78"/>
    <mergeCell ref="PIK78:PIL78"/>
    <mergeCell ref="PIM78:PIN78"/>
    <mergeCell ref="PIO78:PIP78"/>
    <mergeCell ref="PIQ78:PIR78"/>
    <mergeCell ref="PIS78:PIT78"/>
    <mergeCell ref="PIA78:PIB78"/>
    <mergeCell ref="PIC78:PID78"/>
    <mergeCell ref="PIE78:PIF78"/>
    <mergeCell ref="PIG78:PIH78"/>
    <mergeCell ref="PII78:PIJ78"/>
    <mergeCell ref="PHQ78:PHR78"/>
    <mergeCell ref="PHS78:PHT78"/>
    <mergeCell ref="PHU78:PHV78"/>
    <mergeCell ref="PHW78:PHX78"/>
    <mergeCell ref="PHY78:PHZ78"/>
    <mergeCell ref="PKI78:PKJ78"/>
    <mergeCell ref="PKK78:PKL78"/>
    <mergeCell ref="PKM78:PKN78"/>
    <mergeCell ref="PKO78:PKP78"/>
    <mergeCell ref="PKQ78:PKR78"/>
    <mergeCell ref="PJY78:PJZ78"/>
    <mergeCell ref="PKA78:PKB78"/>
    <mergeCell ref="PKC78:PKD78"/>
    <mergeCell ref="PKE78:PKF78"/>
    <mergeCell ref="PKG78:PKH78"/>
    <mergeCell ref="PJO78:PJP78"/>
    <mergeCell ref="PJQ78:PJR78"/>
    <mergeCell ref="PJS78:PJT78"/>
    <mergeCell ref="PJU78:PJV78"/>
    <mergeCell ref="PJW78:PJX78"/>
    <mergeCell ref="PJE78:PJF78"/>
    <mergeCell ref="PJG78:PJH78"/>
    <mergeCell ref="PJI78:PJJ78"/>
    <mergeCell ref="PJK78:PJL78"/>
    <mergeCell ref="PJM78:PJN78"/>
    <mergeCell ref="PLW78:PLX78"/>
    <mergeCell ref="PLY78:PLZ78"/>
    <mergeCell ref="PMA78:PMB78"/>
    <mergeCell ref="PMC78:PMD78"/>
    <mergeCell ref="PME78:PMF78"/>
    <mergeCell ref="PLM78:PLN78"/>
    <mergeCell ref="PLO78:PLP78"/>
    <mergeCell ref="PLQ78:PLR78"/>
    <mergeCell ref="PLS78:PLT78"/>
    <mergeCell ref="PLU78:PLV78"/>
    <mergeCell ref="PLC78:PLD78"/>
    <mergeCell ref="PLE78:PLF78"/>
    <mergeCell ref="PLG78:PLH78"/>
    <mergeCell ref="PLI78:PLJ78"/>
    <mergeCell ref="PLK78:PLL78"/>
    <mergeCell ref="PKS78:PKT78"/>
    <mergeCell ref="PKU78:PKV78"/>
    <mergeCell ref="PKW78:PKX78"/>
    <mergeCell ref="PKY78:PKZ78"/>
    <mergeCell ref="PLA78:PLB78"/>
    <mergeCell ref="PNK78:PNL78"/>
    <mergeCell ref="PNM78:PNN78"/>
    <mergeCell ref="PNO78:PNP78"/>
    <mergeCell ref="PNQ78:PNR78"/>
    <mergeCell ref="PNS78:PNT78"/>
    <mergeCell ref="PNA78:PNB78"/>
    <mergeCell ref="PNC78:PND78"/>
    <mergeCell ref="PNE78:PNF78"/>
    <mergeCell ref="PNG78:PNH78"/>
    <mergeCell ref="PNI78:PNJ78"/>
    <mergeCell ref="PMQ78:PMR78"/>
    <mergeCell ref="PMS78:PMT78"/>
    <mergeCell ref="PMU78:PMV78"/>
    <mergeCell ref="PMW78:PMX78"/>
    <mergeCell ref="PMY78:PMZ78"/>
    <mergeCell ref="PMG78:PMH78"/>
    <mergeCell ref="PMI78:PMJ78"/>
    <mergeCell ref="PMK78:PML78"/>
    <mergeCell ref="PMM78:PMN78"/>
    <mergeCell ref="PMO78:PMP78"/>
    <mergeCell ref="POY78:POZ78"/>
    <mergeCell ref="PPA78:PPB78"/>
    <mergeCell ref="PPC78:PPD78"/>
    <mergeCell ref="PPE78:PPF78"/>
    <mergeCell ref="PPG78:PPH78"/>
    <mergeCell ref="POO78:POP78"/>
    <mergeCell ref="POQ78:POR78"/>
    <mergeCell ref="POS78:POT78"/>
    <mergeCell ref="POU78:POV78"/>
    <mergeCell ref="POW78:POX78"/>
    <mergeCell ref="POE78:POF78"/>
    <mergeCell ref="POG78:POH78"/>
    <mergeCell ref="POI78:POJ78"/>
    <mergeCell ref="POK78:POL78"/>
    <mergeCell ref="POM78:PON78"/>
    <mergeCell ref="PNU78:PNV78"/>
    <mergeCell ref="PNW78:PNX78"/>
    <mergeCell ref="PNY78:PNZ78"/>
    <mergeCell ref="POA78:POB78"/>
    <mergeCell ref="POC78:POD78"/>
    <mergeCell ref="PQM78:PQN78"/>
    <mergeCell ref="PQO78:PQP78"/>
    <mergeCell ref="PQQ78:PQR78"/>
    <mergeCell ref="PQS78:PQT78"/>
    <mergeCell ref="PQU78:PQV78"/>
    <mergeCell ref="PQC78:PQD78"/>
    <mergeCell ref="PQE78:PQF78"/>
    <mergeCell ref="PQG78:PQH78"/>
    <mergeCell ref="PQI78:PQJ78"/>
    <mergeCell ref="PQK78:PQL78"/>
    <mergeCell ref="PPS78:PPT78"/>
    <mergeCell ref="PPU78:PPV78"/>
    <mergeCell ref="PPW78:PPX78"/>
    <mergeCell ref="PPY78:PPZ78"/>
    <mergeCell ref="PQA78:PQB78"/>
    <mergeCell ref="PPI78:PPJ78"/>
    <mergeCell ref="PPK78:PPL78"/>
    <mergeCell ref="PPM78:PPN78"/>
    <mergeCell ref="PPO78:PPP78"/>
    <mergeCell ref="PPQ78:PPR78"/>
    <mergeCell ref="PSA78:PSB78"/>
    <mergeCell ref="PSC78:PSD78"/>
    <mergeCell ref="PSE78:PSF78"/>
    <mergeCell ref="PSG78:PSH78"/>
    <mergeCell ref="PSI78:PSJ78"/>
    <mergeCell ref="PRQ78:PRR78"/>
    <mergeCell ref="PRS78:PRT78"/>
    <mergeCell ref="PRU78:PRV78"/>
    <mergeCell ref="PRW78:PRX78"/>
    <mergeCell ref="PRY78:PRZ78"/>
    <mergeCell ref="PRG78:PRH78"/>
    <mergeCell ref="PRI78:PRJ78"/>
    <mergeCell ref="PRK78:PRL78"/>
    <mergeCell ref="PRM78:PRN78"/>
    <mergeCell ref="PRO78:PRP78"/>
    <mergeCell ref="PQW78:PQX78"/>
    <mergeCell ref="PQY78:PQZ78"/>
    <mergeCell ref="PRA78:PRB78"/>
    <mergeCell ref="PRC78:PRD78"/>
    <mergeCell ref="PRE78:PRF78"/>
    <mergeCell ref="PTO78:PTP78"/>
    <mergeCell ref="PTQ78:PTR78"/>
    <mergeCell ref="PTS78:PTT78"/>
    <mergeCell ref="PTU78:PTV78"/>
    <mergeCell ref="PTW78:PTX78"/>
    <mergeCell ref="PTE78:PTF78"/>
    <mergeCell ref="PTG78:PTH78"/>
    <mergeCell ref="PTI78:PTJ78"/>
    <mergeCell ref="PTK78:PTL78"/>
    <mergeCell ref="PTM78:PTN78"/>
    <mergeCell ref="PSU78:PSV78"/>
    <mergeCell ref="PSW78:PSX78"/>
    <mergeCell ref="PSY78:PSZ78"/>
    <mergeCell ref="PTA78:PTB78"/>
    <mergeCell ref="PTC78:PTD78"/>
    <mergeCell ref="PSK78:PSL78"/>
    <mergeCell ref="PSM78:PSN78"/>
    <mergeCell ref="PSO78:PSP78"/>
    <mergeCell ref="PSQ78:PSR78"/>
    <mergeCell ref="PSS78:PST78"/>
    <mergeCell ref="PVC78:PVD78"/>
    <mergeCell ref="PVE78:PVF78"/>
    <mergeCell ref="PVG78:PVH78"/>
    <mergeCell ref="PVI78:PVJ78"/>
    <mergeCell ref="PVK78:PVL78"/>
    <mergeCell ref="PUS78:PUT78"/>
    <mergeCell ref="PUU78:PUV78"/>
    <mergeCell ref="PUW78:PUX78"/>
    <mergeCell ref="PUY78:PUZ78"/>
    <mergeCell ref="PVA78:PVB78"/>
    <mergeCell ref="PUI78:PUJ78"/>
    <mergeCell ref="PUK78:PUL78"/>
    <mergeCell ref="PUM78:PUN78"/>
    <mergeCell ref="PUO78:PUP78"/>
    <mergeCell ref="PUQ78:PUR78"/>
    <mergeCell ref="PTY78:PTZ78"/>
    <mergeCell ref="PUA78:PUB78"/>
    <mergeCell ref="PUC78:PUD78"/>
    <mergeCell ref="PUE78:PUF78"/>
    <mergeCell ref="PUG78:PUH78"/>
    <mergeCell ref="PWQ78:PWR78"/>
    <mergeCell ref="PWS78:PWT78"/>
    <mergeCell ref="PWU78:PWV78"/>
    <mergeCell ref="PWW78:PWX78"/>
    <mergeCell ref="PWY78:PWZ78"/>
    <mergeCell ref="PWG78:PWH78"/>
    <mergeCell ref="PWI78:PWJ78"/>
    <mergeCell ref="PWK78:PWL78"/>
    <mergeCell ref="PWM78:PWN78"/>
    <mergeCell ref="PWO78:PWP78"/>
    <mergeCell ref="PVW78:PVX78"/>
    <mergeCell ref="PVY78:PVZ78"/>
    <mergeCell ref="PWA78:PWB78"/>
    <mergeCell ref="PWC78:PWD78"/>
    <mergeCell ref="PWE78:PWF78"/>
    <mergeCell ref="PVM78:PVN78"/>
    <mergeCell ref="PVO78:PVP78"/>
    <mergeCell ref="PVQ78:PVR78"/>
    <mergeCell ref="PVS78:PVT78"/>
    <mergeCell ref="PVU78:PVV78"/>
    <mergeCell ref="PYE78:PYF78"/>
    <mergeCell ref="PYG78:PYH78"/>
    <mergeCell ref="PYI78:PYJ78"/>
    <mergeCell ref="PYK78:PYL78"/>
    <mergeCell ref="PYM78:PYN78"/>
    <mergeCell ref="PXU78:PXV78"/>
    <mergeCell ref="PXW78:PXX78"/>
    <mergeCell ref="PXY78:PXZ78"/>
    <mergeCell ref="PYA78:PYB78"/>
    <mergeCell ref="PYC78:PYD78"/>
    <mergeCell ref="PXK78:PXL78"/>
    <mergeCell ref="PXM78:PXN78"/>
    <mergeCell ref="PXO78:PXP78"/>
    <mergeCell ref="PXQ78:PXR78"/>
    <mergeCell ref="PXS78:PXT78"/>
    <mergeCell ref="PXA78:PXB78"/>
    <mergeCell ref="PXC78:PXD78"/>
    <mergeCell ref="PXE78:PXF78"/>
    <mergeCell ref="PXG78:PXH78"/>
    <mergeCell ref="PXI78:PXJ78"/>
    <mergeCell ref="PZS78:PZT78"/>
    <mergeCell ref="PZU78:PZV78"/>
    <mergeCell ref="PZW78:PZX78"/>
    <mergeCell ref="PZY78:PZZ78"/>
    <mergeCell ref="QAA78:QAB78"/>
    <mergeCell ref="PZI78:PZJ78"/>
    <mergeCell ref="PZK78:PZL78"/>
    <mergeCell ref="PZM78:PZN78"/>
    <mergeCell ref="PZO78:PZP78"/>
    <mergeCell ref="PZQ78:PZR78"/>
    <mergeCell ref="PYY78:PYZ78"/>
    <mergeCell ref="PZA78:PZB78"/>
    <mergeCell ref="PZC78:PZD78"/>
    <mergeCell ref="PZE78:PZF78"/>
    <mergeCell ref="PZG78:PZH78"/>
    <mergeCell ref="PYO78:PYP78"/>
    <mergeCell ref="PYQ78:PYR78"/>
    <mergeCell ref="PYS78:PYT78"/>
    <mergeCell ref="PYU78:PYV78"/>
    <mergeCell ref="PYW78:PYX78"/>
    <mergeCell ref="QBG78:QBH78"/>
    <mergeCell ref="QBI78:QBJ78"/>
    <mergeCell ref="QBK78:QBL78"/>
    <mergeCell ref="QBM78:QBN78"/>
    <mergeCell ref="QBO78:QBP78"/>
    <mergeCell ref="QAW78:QAX78"/>
    <mergeCell ref="QAY78:QAZ78"/>
    <mergeCell ref="QBA78:QBB78"/>
    <mergeCell ref="QBC78:QBD78"/>
    <mergeCell ref="QBE78:QBF78"/>
    <mergeCell ref="QAM78:QAN78"/>
    <mergeCell ref="QAO78:QAP78"/>
    <mergeCell ref="QAQ78:QAR78"/>
    <mergeCell ref="QAS78:QAT78"/>
    <mergeCell ref="QAU78:QAV78"/>
    <mergeCell ref="QAC78:QAD78"/>
    <mergeCell ref="QAE78:QAF78"/>
    <mergeCell ref="QAG78:QAH78"/>
    <mergeCell ref="QAI78:QAJ78"/>
    <mergeCell ref="QAK78:QAL78"/>
    <mergeCell ref="QCU78:QCV78"/>
    <mergeCell ref="QCW78:QCX78"/>
    <mergeCell ref="QCY78:QCZ78"/>
    <mergeCell ref="QDA78:QDB78"/>
    <mergeCell ref="QDC78:QDD78"/>
    <mergeCell ref="QCK78:QCL78"/>
    <mergeCell ref="QCM78:QCN78"/>
    <mergeCell ref="QCO78:QCP78"/>
    <mergeCell ref="QCQ78:QCR78"/>
    <mergeCell ref="QCS78:QCT78"/>
    <mergeCell ref="QCA78:QCB78"/>
    <mergeCell ref="QCC78:QCD78"/>
    <mergeCell ref="QCE78:QCF78"/>
    <mergeCell ref="QCG78:QCH78"/>
    <mergeCell ref="QCI78:QCJ78"/>
    <mergeCell ref="QBQ78:QBR78"/>
    <mergeCell ref="QBS78:QBT78"/>
    <mergeCell ref="QBU78:QBV78"/>
    <mergeCell ref="QBW78:QBX78"/>
    <mergeCell ref="QBY78:QBZ78"/>
    <mergeCell ref="QEI78:QEJ78"/>
    <mergeCell ref="QEK78:QEL78"/>
    <mergeCell ref="QEM78:QEN78"/>
    <mergeCell ref="QEO78:QEP78"/>
    <mergeCell ref="QEQ78:QER78"/>
    <mergeCell ref="QDY78:QDZ78"/>
    <mergeCell ref="QEA78:QEB78"/>
    <mergeCell ref="QEC78:QED78"/>
    <mergeCell ref="QEE78:QEF78"/>
    <mergeCell ref="QEG78:QEH78"/>
    <mergeCell ref="QDO78:QDP78"/>
    <mergeCell ref="QDQ78:QDR78"/>
    <mergeCell ref="QDS78:QDT78"/>
    <mergeCell ref="QDU78:QDV78"/>
    <mergeCell ref="QDW78:QDX78"/>
    <mergeCell ref="QDE78:QDF78"/>
    <mergeCell ref="QDG78:QDH78"/>
    <mergeCell ref="QDI78:QDJ78"/>
    <mergeCell ref="QDK78:QDL78"/>
    <mergeCell ref="QDM78:QDN78"/>
    <mergeCell ref="QFW78:QFX78"/>
    <mergeCell ref="QFY78:QFZ78"/>
    <mergeCell ref="QGA78:QGB78"/>
    <mergeCell ref="QGC78:QGD78"/>
    <mergeCell ref="QGE78:QGF78"/>
    <mergeCell ref="QFM78:QFN78"/>
    <mergeCell ref="QFO78:QFP78"/>
    <mergeCell ref="QFQ78:QFR78"/>
    <mergeCell ref="QFS78:QFT78"/>
    <mergeCell ref="QFU78:QFV78"/>
    <mergeCell ref="QFC78:QFD78"/>
    <mergeCell ref="QFE78:QFF78"/>
    <mergeCell ref="QFG78:QFH78"/>
    <mergeCell ref="QFI78:QFJ78"/>
    <mergeCell ref="QFK78:QFL78"/>
    <mergeCell ref="QES78:QET78"/>
    <mergeCell ref="QEU78:QEV78"/>
    <mergeCell ref="QEW78:QEX78"/>
    <mergeCell ref="QEY78:QEZ78"/>
    <mergeCell ref="QFA78:QFB78"/>
    <mergeCell ref="QHK78:QHL78"/>
    <mergeCell ref="QHM78:QHN78"/>
    <mergeCell ref="QHO78:QHP78"/>
    <mergeCell ref="QHQ78:QHR78"/>
    <mergeCell ref="QHS78:QHT78"/>
    <mergeCell ref="QHA78:QHB78"/>
    <mergeCell ref="QHC78:QHD78"/>
    <mergeCell ref="QHE78:QHF78"/>
    <mergeCell ref="QHG78:QHH78"/>
    <mergeCell ref="QHI78:QHJ78"/>
    <mergeCell ref="QGQ78:QGR78"/>
    <mergeCell ref="QGS78:QGT78"/>
    <mergeCell ref="QGU78:QGV78"/>
    <mergeCell ref="QGW78:QGX78"/>
    <mergeCell ref="QGY78:QGZ78"/>
    <mergeCell ref="QGG78:QGH78"/>
    <mergeCell ref="QGI78:QGJ78"/>
    <mergeCell ref="QGK78:QGL78"/>
    <mergeCell ref="QGM78:QGN78"/>
    <mergeCell ref="QGO78:QGP78"/>
    <mergeCell ref="QIY78:QIZ78"/>
    <mergeCell ref="QJA78:QJB78"/>
    <mergeCell ref="QJC78:QJD78"/>
    <mergeCell ref="QJE78:QJF78"/>
    <mergeCell ref="QJG78:QJH78"/>
    <mergeCell ref="QIO78:QIP78"/>
    <mergeCell ref="QIQ78:QIR78"/>
    <mergeCell ref="QIS78:QIT78"/>
    <mergeCell ref="QIU78:QIV78"/>
    <mergeCell ref="QIW78:QIX78"/>
    <mergeCell ref="QIE78:QIF78"/>
    <mergeCell ref="QIG78:QIH78"/>
    <mergeCell ref="QII78:QIJ78"/>
    <mergeCell ref="QIK78:QIL78"/>
    <mergeCell ref="QIM78:QIN78"/>
    <mergeCell ref="QHU78:QHV78"/>
    <mergeCell ref="QHW78:QHX78"/>
    <mergeCell ref="QHY78:QHZ78"/>
    <mergeCell ref="QIA78:QIB78"/>
    <mergeCell ref="QIC78:QID78"/>
    <mergeCell ref="QKM78:QKN78"/>
    <mergeCell ref="QKO78:QKP78"/>
    <mergeCell ref="QKQ78:QKR78"/>
    <mergeCell ref="QKS78:QKT78"/>
    <mergeCell ref="QKU78:QKV78"/>
    <mergeCell ref="QKC78:QKD78"/>
    <mergeCell ref="QKE78:QKF78"/>
    <mergeCell ref="QKG78:QKH78"/>
    <mergeCell ref="QKI78:QKJ78"/>
    <mergeCell ref="QKK78:QKL78"/>
    <mergeCell ref="QJS78:QJT78"/>
    <mergeCell ref="QJU78:QJV78"/>
    <mergeCell ref="QJW78:QJX78"/>
    <mergeCell ref="QJY78:QJZ78"/>
    <mergeCell ref="QKA78:QKB78"/>
    <mergeCell ref="QJI78:QJJ78"/>
    <mergeCell ref="QJK78:QJL78"/>
    <mergeCell ref="QJM78:QJN78"/>
    <mergeCell ref="QJO78:QJP78"/>
    <mergeCell ref="QJQ78:QJR78"/>
    <mergeCell ref="QMA78:QMB78"/>
    <mergeCell ref="QMC78:QMD78"/>
    <mergeCell ref="QME78:QMF78"/>
    <mergeCell ref="QMG78:QMH78"/>
    <mergeCell ref="QMI78:QMJ78"/>
    <mergeCell ref="QLQ78:QLR78"/>
    <mergeCell ref="QLS78:QLT78"/>
    <mergeCell ref="QLU78:QLV78"/>
    <mergeCell ref="QLW78:QLX78"/>
    <mergeCell ref="QLY78:QLZ78"/>
    <mergeCell ref="QLG78:QLH78"/>
    <mergeCell ref="QLI78:QLJ78"/>
    <mergeCell ref="QLK78:QLL78"/>
    <mergeCell ref="QLM78:QLN78"/>
    <mergeCell ref="QLO78:QLP78"/>
    <mergeCell ref="QKW78:QKX78"/>
    <mergeCell ref="QKY78:QKZ78"/>
    <mergeCell ref="QLA78:QLB78"/>
    <mergeCell ref="QLC78:QLD78"/>
    <mergeCell ref="QLE78:QLF78"/>
    <mergeCell ref="QNO78:QNP78"/>
    <mergeCell ref="QNQ78:QNR78"/>
    <mergeCell ref="QNS78:QNT78"/>
    <mergeCell ref="QNU78:QNV78"/>
    <mergeCell ref="QNW78:QNX78"/>
    <mergeCell ref="QNE78:QNF78"/>
    <mergeCell ref="QNG78:QNH78"/>
    <mergeCell ref="QNI78:QNJ78"/>
    <mergeCell ref="QNK78:QNL78"/>
    <mergeCell ref="QNM78:QNN78"/>
    <mergeCell ref="QMU78:QMV78"/>
    <mergeCell ref="QMW78:QMX78"/>
    <mergeCell ref="QMY78:QMZ78"/>
    <mergeCell ref="QNA78:QNB78"/>
    <mergeCell ref="QNC78:QND78"/>
    <mergeCell ref="QMK78:QML78"/>
    <mergeCell ref="QMM78:QMN78"/>
    <mergeCell ref="QMO78:QMP78"/>
    <mergeCell ref="QMQ78:QMR78"/>
    <mergeCell ref="QMS78:QMT78"/>
    <mergeCell ref="QPC78:QPD78"/>
    <mergeCell ref="QPE78:QPF78"/>
    <mergeCell ref="QPG78:QPH78"/>
    <mergeCell ref="QPI78:QPJ78"/>
    <mergeCell ref="QPK78:QPL78"/>
    <mergeCell ref="QOS78:QOT78"/>
    <mergeCell ref="QOU78:QOV78"/>
    <mergeCell ref="QOW78:QOX78"/>
    <mergeCell ref="QOY78:QOZ78"/>
    <mergeCell ref="QPA78:QPB78"/>
    <mergeCell ref="QOI78:QOJ78"/>
    <mergeCell ref="QOK78:QOL78"/>
    <mergeCell ref="QOM78:QON78"/>
    <mergeCell ref="QOO78:QOP78"/>
    <mergeCell ref="QOQ78:QOR78"/>
    <mergeCell ref="QNY78:QNZ78"/>
    <mergeCell ref="QOA78:QOB78"/>
    <mergeCell ref="QOC78:QOD78"/>
    <mergeCell ref="QOE78:QOF78"/>
    <mergeCell ref="QOG78:QOH78"/>
    <mergeCell ref="QQQ78:QQR78"/>
    <mergeCell ref="QQS78:QQT78"/>
    <mergeCell ref="QQU78:QQV78"/>
    <mergeCell ref="QQW78:QQX78"/>
    <mergeCell ref="QQY78:QQZ78"/>
    <mergeCell ref="QQG78:QQH78"/>
    <mergeCell ref="QQI78:QQJ78"/>
    <mergeCell ref="QQK78:QQL78"/>
    <mergeCell ref="QQM78:QQN78"/>
    <mergeCell ref="QQO78:QQP78"/>
    <mergeCell ref="QPW78:QPX78"/>
    <mergeCell ref="QPY78:QPZ78"/>
    <mergeCell ref="QQA78:QQB78"/>
    <mergeCell ref="QQC78:QQD78"/>
    <mergeCell ref="QQE78:QQF78"/>
    <mergeCell ref="QPM78:QPN78"/>
    <mergeCell ref="QPO78:QPP78"/>
    <mergeCell ref="QPQ78:QPR78"/>
    <mergeCell ref="QPS78:QPT78"/>
    <mergeCell ref="QPU78:QPV78"/>
    <mergeCell ref="QSE78:QSF78"/>
    <mergeCell ref="QSG78:QSH78"/>
    <mergeCell ref="QSI78:QSJ78"/>
    <mergeCell ref="QSK78:QSL78"/>
    <mergeCell ref="QSM78:QSN78"/>
    <mergeCell ref="QRU78:QRV78"/>
    <mergeCell ref="QRW78:QRX78"/>
    <mergeCell ref="QRY78:QRZ78"/>
    <mergeCell ref="QSA78:QSB78"/>
    <mergeCell ref="QSC78:QSD78"/>
    <mergeCell ref="QRK78:QRL78"/>
    <mergeCell ref="QRM78:QRN78"/>
    <mergeCell ref="QRO78:QRP78"/>
    <mergeCell ref="QRQ78:QRR78"/>
    <mergeCell ref="QRS78:QRT78"/>
    <mergeCell ref="QRA78:QRB78"/>
    <mergeCell ref="QRC78:QRD78"/>
    <mergeCell ref="QRE78:QRF78"/>
    <mergeCell ref="QRG78:QRH78"/>
    <mergeCell ref="QRI78:QRJ78"/>
    <mergeCell ref="QTS78:QTT78"/>
    <mergeCell ref="QTU78:QTV78"/>
    <mergeCell ref="QTW78:QTX78"/>
    <mergeCell ref="QTY78:QTZ78"/>
    <mergeCell ref="QUA78:QUB78"/>
    <mergeCell ref="QTI78:QTJ78"/>
    <mergeCell ref="QTK78:QTL78"/>
    <mergeCell ref="QTM78:QTN78"/>
    <mergeCell ref="QTO78:QTP78"/>
    <mergeCell ref="QTQ78:QTR78"/>
    <mergeCell ref="QSY78:QSZ78"/>
    <mergeCell ref="QTA78:QTB78"/>
    <mergeCell ref="QTC78:QTD78"/>
    <mergeCell ref="QTE78:QTF78"/>
    <mergeCell ref="QTG78:QTH78"/>
    <mergeCell ref="QSO78:QSP78"/>
    <mergeCell ref="QSQ78:QSR78"/>
    <mergeCell ref="QSS78:QST78"/>
    <mergeCell ref="QSU78:QSV78"/>
    <mergeCell ref="QSW78:QSX78"/>
    <mergeCell ref="QVG78:QVH78"/>
    <mergeCell ref="QVI78:QVJ78"/>
    <mergeCell ref="QVK78:QVL78"/>
    <mergeCell ref="QVM78:QVN78"/>
    <mergeCell ref="QVO78:QVP78"/>
    <mergeCell ref="QUW78:QUX78"/>
    <mergeCell ref="QUY78:QUZ78"/>
    <mergeCell ref="QVA78:QVB78"/>
    <mergeCell ref="QVC78:QVD78"/>
    <mergeCell ref="QVE78:QVF78"/>
    <mergeCell ref="QUM78:QUN78"/>
    <mergeCell ref="QUO78:QUP78"/>
    <mergeCell ref="QUQ78:QUR78"/>
    <mergeCell ref="QUS78:QUT78"/>
    <mergeCell ref="QUU78:QUV78"/>
    <mergeCell ref="QUC78:QUD78"/>
    <mergeCell ref="QUE78:QUF78"/>
    <mergeCell ref="QUG78:QUH78"/>
    <mergeCell ref="QUI78:QUJ78"/>
    <mergeCell ref="QUK78:QUL78"/>
    <mergeCell ref="QWU78:QWV78"/>
    <mergeCell ref="QWW78:QWX78"/>
    <mergeCell ref="QWY78:QWZ78"/>
    <mergeCell ref="QXA78:QXB78"/>
    <mergeCell ref="QXC78:QXD78"/>
    <mergeCell ref="QWK78:QWL78"/>
    <mergeCell ref="QWM78:QWN78"/>
    <mergeCell ref="QWO78:QWP78"/>
    <mergeCell ref="QWQ78:QWR78"/>
    <mergeCell ref="QWS78:QWT78"/>
    <mergeCell ref="QWA78:QWB78"/>
    <mergeCell ref="QWC78:QWD78"/>
    <mergeCell ref="QWE78:QWF78"/>
    <mergeCell ref="QWG78:QWH78"/>
    <mergeCell ref="QWI78:QWJ78"/>
    <mergeCell ref="QVQ78:QVR78"/>
    <mergeCell ref="QVS78:QVT78"/>
    <mergeCell ref="QVU78:QVV78"/>
    <mergeCell ref="QVW78:QVX78"/>
    <mergeCell ref="QVY78:QVZ78"/>
    <mergeCell ref="QYI78:QYJ78"/>
    <mergeCell ref="QYK78:QYL78"/>
    <mergeCell ref="QYM78:QYN78"/>
    <mergeCell ref="QYO78:QYP78"/>
    <mergeCell ref="QYQ78:QYR78"/>
    <mergeCell ref="QXY78:QXZ78"/>
    <mergeCell ref="QYA78:QYB78"/>
    <mergeCell ref="QYC78:QYD78"/>
    <mergeCell ref="QYE78:QYF78"/>
    <mergeCell ref="QYG78:QYH78"/>
    <mergeCell ref="QXO78:QXP78"/>
    <mergeCell ref="QXQ78:QXR78"/>
    <mergeCell ref="QXS78:QXT78"/>
    <mergeCell ref="QXU78:QXV78"/>
    <mergeCell ref="QXW78:QXX78"/>
    <mergeCell ref="QXE78:QXF78"/>
    <mergeCell ref="QXG78:QXH78"/>
    <mergeCell ref="QXI78:QXJ78"/>
    <mergeCell ref="QXK78:QXL78"/>
    <mergeCell ref="QXM78:QXN78"/>
    <mergeCell ref="QZW78:QZX78"/>
    <mergeCell ref="QZY78:QZZ78"/>
    <mergeCell ref="RAA78:RAB78"/>
    <mergeCell ref="RAC78:RAD78"/>
    <mergeCell ref="RAE78:RAF78"/>
    <mergeCell ref="QZM78:QZN78"/>
    <mergeCell ref="QZO78:QZP78"/>
    <mergeCell ref="QZQ78:QZR78"/>
    <mergeCell ref="QZS78:QZT78"/>
    <mergeCell ref="QZU78:QZV78"/>
    <mergeCell ref="QZC78:QZD78"/>
    <mergeCell ref="QZE78:QZF78"/>
    <mergeCell ref="QZG78:QZH78"/>
    <mergeCell ref="QZI78:QZJ78"/>
    <mergeCell ref="QZK78:QZL78"/>
    <mergeCell ref="QYS78:QYT78"/>
    <mergeCell ref="QYU78:QYV78"/>
    <mergeCell ref="QYW78:QYX78"/>
    <mergeCell ref="QYY78:QYZ78"/>
    <mergeCell ref="QZA78:QZB78"/>
    <mergeCell ref="RBK78:RBL78"/>
    <mergeCell ref="RBM78:RBN78"/>
    <mergeCell ref="RBO78:RBP78"/>
    <mergeCell ref="RBQ78:RBR78"/>
    <mergeCell ref="RBS78:RBT78"/>
    <mergeCell ref="RBA78:RBB78"/>
    <mergeCell ref="RBC78:RBD78"/>
    <mergeCell ref="RBE78:RBF78"/>
    <mergeCell ref="RBG78:RBH78"/>
    <mergeCell ref="RBI78:RBJ78"/>
    <mergeCell ref="RAQ78:RAR78"/>
    <mergeCell ref="RAS78:RAT78"/>
    <mergeCell ref="RAU78:RAV78"/>
    <mergeCell ref="RAW78:RAX78"/>
    <mergeCell ref="RAY78:RAZ78"/>
    <mergeCell ref="RAG78:RAH78"/>
    <mergeCell ref="RAI78:RAJ78"/>
    <mergeCell ref="RAK78:RAL78"/>
    <mergeCell ref="RAM78:RAN78"/>
    <mergeCell ref="RAO78:RAP78"/>
    <mergeCell ref="RCY78:RCZ78"/>
    <mergeCell ref="RDA78:RDB78"/>
    <mergeCell ref="RDC78:RDD78"/>
    <mergeCell ref="RDE78:RDF78"/>
    <mergeCell ref="RDG78:RDH78"/>
    <mergeCell ref="RCO78:RCP78"/>
    <mergeCell ref="RCQ78:RCR78"/>
    <mergeCell ref="RCS78:RCT78"/>
    <mergeCell ref="RCU78:RCV78"/>
    <mergeCell ref="RCW78:RCX78"/>
    <mergeCell ref="RCE78:RCF78"/>
    <mergeCell ref="RCG78:RCH78"/>
    <mergeCell ref="RCI78:RCJ78"/>
    <mergeCell ref="RCK78:RCL78"/>
    <mergeCell ref="RCM78:RCN78"/>
    <mergeCell ref="RBU78:RBV78"/>
    <mergeCell ref="RBW78:RBX78"/>
    <mergeCell ref="RBY78:RBZ78"/>
    <mergeCell ref="RCA78:RCB78"/>
    <mergeCell ref="RCC78:RCD78"/>
    <mergeCell ref="REM78:REN78"/>
    <mergeCell ref="REO78:REP78"/>
    <mergeCell ref="REQ78:RER78"/>
    <mergeCell ref="RES78:RET78"/>
    <mergeCell ref="REU78:REV78"/>
    <mergeCell ref="REC78:RED78"/>
    <mergeCell ref="REE78:REF78"/>
    <mergeCell ref="REG78:REH78"/>
    <mergeCell ref="REI78:REJ78"/>
    <mergeCell ref="REK78:REL78"/>
    <mergeCell ref="RDS78:RDT78"/>
    <mergeCell ref="RDU78:RDV78"/>
    <mergeCell ref="RDW78:RDX78"/>
    <mergeCell ref="RDY78:RDZ78"/>
    <mergeCell ref="REA78:REB78"/>
    <mergeCell ref="RDI78:RDJ78"/>
    <mergeCell ref="RDK78:RDL78"/>
    <mergeCell ref="RDM78:RDN78"/>
    <mergeCell ref="RDO78:RDP78"/>
    <mergeCell ref="RDQ78:RDR78"/>
    <mergeCell ref="RGA78:RGB78"/>
    <mergeCell ref="RGC78:RGD78"/>
    <mergeCell ref="RGE78:RGF78"/>
    <mergeCell ref="RGG78:RGH78"/>
    <mergeCell ref="RGI78:RGJ78"/>
    <mergeCell ref="RFQ78:RFR78"/>
    <mergeCell ref="RFS78:RFT78"/>
    <mergeCell ref="RFU78:RFV78"/>
    <mergeCell ref="RFW78:RFX78"/>
    <mergeCell ref="RFY78:RFZ78"/>
    <mergeCell ref="RFG78:RFH78"/>
    <mergeCell ref="RFI78:RFJ78"/>
    <mergeCell ref="RFK78:RFL78"/>
    <mergeCell ref="RFM78:RFN78"/>
    <mergeCell ref="RFO78:RFP78"/>
    <mergeCell ref="REW78:REX78"/>
    <mergeCell ref="REY78:REZ78"/>
    <mergeCell ref="RFA78:RFB78"/>
    <mergeCell ref="RFC78:RFD78"/>
    <mergeCell ref="RFE78:RFF78"/>
    <mergeCell ref="RHO78:RHP78"/>
    <mergeCell ref="RHQ78:RHR78"/>
    <mergeCell ref="RHS78:RHT78"/>
    <mergeCell ref="RHU78:RHV78"/>
    <mergeCell ref="RHW78:RHX78"/>
    <mergeCell ref="RHE78:RHF78"/>
    <mergeCell ref="RHG78:RHH78"/>
    <mergeCell ref="RHI78:RHJ78"/>
    <mergeCell ref="RHK78:RHL78"/>
    <mergeCell ref="RHM78:RHN78"/>
    <mergeCell ref="RGU78:RGV78"/>
    <mergeCell ref="RGW78:RGX78"/>
    <mergeCell ref="RGY78:RGZ78"/>
    <mergeCell ref="RHA78:RHB78"/>
    <mergeCell ref="RHC78:RHD78"/>
    <mergeCell ref="RGK78:RGL78"/>
    <mergeCell ref="RGM78:RGN78"/>
    <mergeCell ref="RGO78:RGP78"/>
    <mergeCell ref="RGQ78:RGR78"/>
    <mergeCell ref="RGS78:RGT78"/>
    <mergeCell ref="RJC78:RJD78"/>
    <mergeCell ref="RJE78:RJF78"/>
    <mergeCell ref="RJG78:RJH78"/>
    <mergeCell ref="RJI78:RJJ78"/>
    <mergeCell ref="RJK78:RJL78"/>
    <mergeCell ref="RIS78:RIT78"/>
    <mergeCell ref="RIU78:RIV78"/>
    <mergeCell ref="RIW78:RIX78"/>
    <mergeCell ref="RIY78:RIZ78"/>
    <mergeCell ref="RJA78:RJB78"/>
    <mergeCell ref="RII78:RIJ78"/>
    <mergeCell ref="RIK78:RIL78"/>
    <mergeCell ref="RIM78:RIN78"/>
    <mergeCell ref="RIO78:RIP78"/>
    <mergeCell ref="RIQ78:RIR78"/>
    <mergeCell ref="RHY78:RHZ78"/>
    <mergeCell ref="RIA78:RIB78"/>
    <mergeCell ref="RIC78:RID78"/>
    <mergeCell ref="RIE78:RIF78"/>
    <mergeCell ref="RIG78:RIH78"/>
    <mergeCell ref="RKQ78:RKR78"/>
    <mergeCell ref="RKS78:RKT78"/>
    <mergeCell ref="RKU78:RKV78"/>
    <mergeCell ref="RKW78:RKX78"/>
    <mergeCell ref="RKY78:RKZ78"/>
    <mergeCell ref="RKG78:RKH78"/>
    <mergeCell ref="RKI78:RKJ78"/>
    <mergeCell ref="RKK78:RKL78"/>
    <mergeCell ref="RKM78:RKN78"/>
    <mergeCell ref="RKO78:RKP78"/>
    <mergeCell ref="RJW78:RJX78"/>
    <mergeCell ref="RJY78:RJZ78"/>
    <mergeCell ref="RKA78:RKB78"/>
    <mergeCell ref="RKC78:RKD78"/>
    <mergeCell ref="RKE78:RKF78"/>
    <mergeCell ref="RJM78:RJN78"/>
    <mergeCell ref="RJO78:RJP78"/>
    <mergeCell ref="RJQ78:RJR78"/>
    <mergeCell ref="RJS78:RJT78"/>
    <mergeCell ref="RJU78:RJV78"/>
    <mergeCell ref="RME78:RMF78"/>
    <mergeCell ref="RMG78:RMH78"/>
    <mergeCell ref="RMI78:RMJ78"/>
    <mergeCell ref="RMK78:RML78"/>
    <mergeCell ref="RMM78:RMN78"/>
    <mergeCell ref="RLU78:RLV78"/>
    <mergeCell ref="RLW78:RLX78"/>
    <mergeCell ref="RLY78:RLZ78"/>
    <mergeCell ref="RMA78:RMB78"/>
    <mergeCell ref="RMC78:RMD78"/>
    <mergeCell ref="RLK78:RLL78"/>
    <mergeCell ref="RLM78:RLN78"/>
    <mergeCell ref="RLO78:RLP78"/>
    <mergeCell ref="RLQ78:RLR78"/>
    <mergeCell ref="RLS78:RLT78"/>
    <mergeCell ref="RLA78:RLB78"/>
    <mergeCell ref="RLC78:RLD78"/>
    <mergeCell ref="RLE78:RLF78"/>
    <mergeCell ref="RLG78:RLH78"/>
    <mergeCell ref="RLI78:RLJ78"/>
    <mergeCell ref="RNS78:RNT78"/>
    <mergeCell ref="RNU78:RNV78"/>
    <mergeCell ref="RNW78:RNX78"/>
    <mergeCell ref="RNY78:RNZ78"/>
    <mergeCell ref="ROA78:ROB78"/>
    <mergeCell ref="RNI78:RNJ78"/>
    <mergeCell ref="RNK78:RNL78"/>
    <mergeCell ref="RNM78:RNN78"/>
    <mergeCell ref="RNO78:RNP78"/>
    <mergeCell ref="RNQ78:RNR78"/>
    <mergeCell ref="RMY78:RMZ78"/>
    <mergeCell ref="RNA78:RNB78"/>
    <mergeCell ref="RNC78:RND78"/>
    <mergeCell ref="RNE78:RNF78"/>
    <mergeCell ref="RNG78:RNH78"/>
    <mergeCell ref="RMO78:RMP78"/>
    <mergeCell ref="RMQ78:RMR78"/>
    <mergeCell ref="RMS78:RMT78"/>
    <mergeCell ref="RMU78:RMV78"/>
    <mergeCell ref="RMW78:RMX78"/>
    <mergeCell ref="RPG78:RPH78"/>
    <mergeCell ref="RPI78:RPJ78"/>
    <mergeCell ref="RPK78:RPL78"/>
    <mergeCell ref="RPM78:RPN78"/>
    <mergeCell ref="RPO78:RPP78"/>
    <mergeCell ref="ROW78:ROX78"/>
    <mergeCell ref="ROY78:ROZ78"/>
    <mergeCell ref="RPA78:RPB78"/>
    <mergeCell ref="RPC78:RPD78"/>
    <mergeCell ref="RPE78:RPF78"/>
    <mergeCell ref="ROM78:RON78"/>
    <mergeCell ref="ROO78:ROP78"/>
    <mergeCell ref="ROQ78:ROR78"/>
    <mergeCell ref="ROS78:ROT78"/>
    <mergeCell ref="ROU78:ROV78"/>
    <mergeCell ref="ROC78:ROD78"/>
    <mergeCell ref="ROE78:ROF78"/>
    <mergeCell ref="ROG78:ROH78"/>
    <mergeCell ref="ROI78:ROJ78"/>
    <mergeCell ref="ROK78:ROL78"/>
    <mergeCell ref="RQU78:RQV78"/>
    <mergeCell ref="RQW78:RQX78"/>
    <mergeCell ref="RQY78:RQZ78"/>
    <mergeCell ref="RRA78:RRB78"/>
    <mergeCell ref="RRC78:RRD78"/>
    <mergeCell ref="RQK78:RQL78"/>
    <mergeCell ref="RQM78:RQN78"/>
    <mergeCell ref="RQO78:RQP78"/>
    <mergeCell ref="RQQ78:RQR78"/>
    <mergeCell ref="RQS78:RQT78"/>
    <mergeCell ref="RQA78:RQB78"/>
    <mergeCell ref="RQC78:RQD78"/>
    <mergeCell ref="RQE78:RQF78"/>
    <mergeCell ref="RQG78:RQH78"/>
    <mergeCell ref="RQI78:RQJ78"/>
    <mergeCell ref="RPQ78:RPR78"/>
    <mergeCell ref="RPS78:RPT78"/>
    <mergeCell ref="RPU78:RPV78"/>
    <mergeCell ref="RPW78:RPX78"/>
    <mergeCell ref="RPY78:RPZ78"/>
    <mergeCell ref="RSI78:RSJ78"/>
    <mergeCell ref="RSK78:RSL78"/>
    <mergeCell ref="RSM78:RSN78"/>
    <mergeCell ref="RSO78:RSP78"/>
    <mergeCell ref="RSQ78:RSR78"/>
    <mergeCell ref="RRY78:RRZ78"/>
    <mergeCell ref="RSA78:RSB78"/>
    <mergeCell ref="RSC78:RSD78"/>
    <mergeCell ref="RSE78:RSF78"/>
    <mergeCell ref="RSG78:RSH78"/>
    <mergeCell ref="RRO78:RRP78"/>
    <mergeCell ref="RRQ78:RRR78"/>
    <mergeCell ref="RRS78:RRT78"/>
    <mergeCell ref="RRU78:RRV78"/>
    <mergeCell ref="RRW78:RRX78"/>
    <mergeCell ref="RRE78:RRF78"/>
    <mergeCell ref="RRG78:RRH78"/>
    <mergeCell ref="RRI78:RRJ78"/>
    <mergeCell ref="RRK78:RRL78"/>
    <mergeCell ref="RRM78:RRN78"/>
    <mergeCell ref="RTW78:RTX78"/>
    <mergeCell ref="RTY78:RTZ78"/>
    <mergeCell ref="RUA78:RUB78"/>
    <mergeCell ref="RUC78:RUD78"/>
    <mergeCell ref="RUE78:RUF78"/>
    <mergeCell ref="RTM78:RTN78"/>
    <mergeCell ref="RTO78:RTP78"/>
    <mergeCell ref="RTQ78:RTR78"/>
    <mergeCell ref="RTS78:RTT78"/>
    <mergeCell ref="RTU78:RTV78"/>
    <mergeCell ref="RTC78:RTD78"/>
    <mergeCell ref="RTE78:RTF78"/>
    <mergeCell ref="RTG78:RTH78"/>
    <mergeCell ref="RTI78:RTJ78"/>
    <mergeCell ref="RTK78:RTL78"/>
    <mergeCell ref="RSS78:RST78"/>
    <mergeCell ref="RSU78:RSV78"/>
    <mergeCell ref="RSW78:RSX78"/>
    <mergeCell ref="RSY78:RSZ78"/>
    <mergeCell ref="RTA78:RTB78"/>
    <mergeCell ref="RVK78:RVL78"/>
    <mergeCell ref="RVM78:RVN78"/>
    <mergeCell ref="RVO78:RVP78"/>
    <mergeCell ref="RVQ78:RVR78"/>
    <mergeCell ref="RVS78:RVT78"/>
    <mergeCell ref="RVA78:RVB78"/>
    <mergeCell ref="RVC78:RVD78"/>
    <mergeCell ref="RVE78:RVF78"/>
    <mergeCell ref="RVG78:RVH78"/>
    <mergeCell ref="RVI78:RVJ78"/>
    <mergeCell ref="RUQ78:RUR78"/>
    <mergeCell ref="RUS78:RUT78"/>
    <mergeCell ref="RUU78:RUV78"/>
    <mergeCell ref="RUW78:RUX78"/>
    <mergeCell ref="RUY78:RUZ78"/>
    <mergeCell ref="RUG78:RUH78"/>
    <mergeCell ref="RUI78:RUJ78"/>
    <mergeCell ref="RUK78:RUL78"/>
    <mergeCell ref="RUM78:RUN78"/>
    <mergeCell ref="RUO78:RUP78"/>
    <mergeCell ref="RWY78:RWZ78"/>
    <mergeCell ref="RXA78:RXB78"/>
    <mergeCell ref="RXC78:RXD78"/>
    <mergeCell ref="RXE78:RXF78"/>
    <mergeCell ref="RXG78:RXH78"/>
    <mergeCell ref="RWO78:RWP78"/>
    <mergeCell ref="RWQ78:RWR78"/>
    <mergeCell ref="RWS78:RWT78"/>
    <mergeCell ref="RWU78:RWV78"/>
    <mergeCell ref="RWW78:RWX78"/>
    <mergeCell ref="RWE78:RWF78"/>
    <mergeCell ref="RWG78:RWH78"/>
    <mergeCell ref="RWI78:RWJ78"/>
    <mergeCell ref="RWK78:RWL78"/>
    <mergeCell ref="RWM78:RWN78"/>
    <mergeCell ref="RVU78:RVV78"/>
    <mergeCell ref="RVW78:RVX78"/>
    <mergeCell ref="RVY78:RVZ78"/>
    <mergeCell ref="RWA78:RWB78"/>
    <mergeCell ref="RWC78:RWD78"/>
    <mergeCell ref="RYM78:RYN78"/>
    <mergeCell ref="RYO78:RYP78"/>
    <mergeCell ref="RYQ78:RYR78"/>
    <mergeCell ref="RYS78:RYT78"/>
    <mergeCell ref="RYU78:RYV78"/>
    <mergeCell ref="RYC78:RYD78"/>
    <mergeCell ref="RYE78:RYF78"/>
    <mergeCell ref="RYG78:RYH78"/>
    <mergeCell ref="RYI78:RYJ78"/>
    <mergeCell ref="RYK78:RYL78"/>
    <mergeCell ref="RXS78:RXT78"/>
    <mergeCell ref="RXU78:RXV78"/>
    <mergeCell ref="RXW78:RXX78"/>
    <mergeCell ref="RXY78:RXZ78"/>
    <mergeCell ref="RYA78:RYB78"/>
    <mergeCell ref="RXI78:RXJ78"/>
    <mergeCell ref="RXK78:RXL78"/>
    <mergeCell ref="RXM78:RXN78"/>
    <mergeCell ref="RXO78:RXP78"/>
    <mergeCell ref="RXQ78:RXR78"/>
    <mergeCell ref="SAA78:SAB78"/>
    <mergeCell ref="SAC78:SAD78"/>
    <mergeCell ref="SAE78:SAF78"/>
    <mergeCell ref="SAG78:SAH78"/>
    <mergeCell ref="SAI78:SAJ78"/>
    <mergeCell ref="RZQ78:RZR78"/>
    <mergeCell ref="RZS78:RZT78"/>
    <mergeCell ref="RZU78:RZV78"/>
    <mergeCell ref="RZW78:RZX78"/>
    <mergeCell ref="RZY78:RZZ78"/>
    <mergeCell ref="RZG78:RZH78"/>
    <mergeCell ref="RZI78:RZJ78"/>
    <mergeCell ref="RZK78:RZL78"/>
    <mergeCell ref="RZM78:RZN78"/>
    <mergeCell ref="RZO78:RZP78"/>
    <mergeCell ref="RYW78:RYX78"/>
    <mergeCell ref="RYY78:RYZ78"/>
    <mergeCell ref="RZA78:RZB78"/>
    <mergeCell ref="RZC78:RZD78"/>
    <mergeCell ref="RZE78:RZF78"/>
    <mergeCell ref="SBO78:SBP78"/>
    <mergeCell ref="SBQ78:SBR78"/>
    <mergeCell ref="SBS78:SBT78"/>
    <mergeCell ref="SBU78:SBV78"/>
    <mergeCell ref="SBW78:SBX78"/>
    <mergeCell ref="SBE78:SBF78"/>
    <mergeCell ref="SBG78:SBH78"/>
    <mergeCell ref="SBI78:SBJ78"/>
    <mergeCell ref="SBK78:SBL78"/>
    <mergeCell ref="SBM78:SBN78"/>
    <mergeCell ref="SAU78:SAV78"/>
    <mergeCell ref="SAW78:SAX78"/>
    <mergeCell ref="SAY78:SAZ78"/>
    <mergeCell ref="SBA78:SBB78"/>
    <mergeCell ref="SBC78:SBD78"/>
    <mergeCell ref="SAK78:SAL78"/>
    <mergeCell ref="SAM78:SAN78"/>
    <mergeCell ref="SAO78:SAP78"/>
    <mergeCell ref="SAQ78:SAR78"/>
    <mergeCell ref="SAS78:SAT78"/>
    <mergeCell ref="SDC78:SDD78"/>
    <mergeCell ref="SDE78:SDF78"/>
    <mergeCell ref="SDG78:SDH78"/>
    <mergeCell ref="SDI78:SDJ78"/>
    <mergeCell ref="SDK78:SDL78"/>
    <mergeCell ref="SCS78:SCT78"/>
    <mergeCell ref="SCU78:SCV78"/>
    <mergeCell ref="SCW78:SCX78"/>
    <mergeCell ref="SCY78:SCZ78"/>
    <mergeCell ref="SDA78:SDB78"/>
    <mergeCell ref="SCI78:SCJ78"/>
    <mergeCell ref="SCK78:SCL78"/>
    <mergeCell ref="SCM78:SCN78"/>
    <mergeCell ref="SCO78:SCP78"/>
    <mergeCell ref="SCQ78:SCR78"/>
    <mergeCell ref="SBY78:SBZ78"/>
    <mergeCell ref="SCA78:SCB78"/>
    <mergeCell ref="SCC78:SCD78"/>
    <mergeCell ref="SCE78:SCF78"/>
    <mergeCell ref="SCG78:SCH78"/>
    <mergeCell ref="SEQ78:SER78"/>
    <mergeCell ref="SES78:SET78"/>
    <mergeCell ref="SEU78:SEV78"/>
    <mergeCell ref="SEW78:SEX78"/>
    <mergeCell ref="SEY78:SEZ78"/>
    <mergeCell ref="SEG78:SEH78"/>
    <mergeCell ref="SEI78:SEJ78"/>
    <mergeCell ref="SEK78:SEL78"/>
    <mergeCell ref="SEM78:SEN78"/>
    <mergeCell ref="SEO78:SEP78"/>
    <mergeCell ref="SDW78:SDX78"/>
    <mergeCell ref="SDY78:SDZ78"/>
    <mergeCell ref="SEA78:SEB78"/>
    <mergeCell ref="SEC78:SED78"/>
    <mergeCell ref="SEE78:SEF78"/>
    <mergeCell ref="SDM78:SDN78"/>
    <mergeCell ref="SDO78:SDP78"/>
    <mergeCell ref="SDQ78:SDR78"/>
    <mergeCell ref="SDS78:SDT78"/>
    <mergeCell ref="SDU78:SDV78"/>
    <mergeCell ref="SGE78:SGF78"/>
    <mergeCell ref="SGG78:SGH78"/>
    <mergeCell ref="SGI78:SGJ78"/>
    <mergeCell ref="SGK78:SGL78"/>
    <mergeCell ref="SGM78:SGN78"/>
    <mergeCell ref="SFU78:SFV78"/>
    <mergeCell ref="SFW78:SFX78"/>
    <mergeCell ref="SFY78:SFZ78"/>
    <mergeCell ref="SGA78:SGB78"/>
    <mergeCell ref="SGC78:SGD78"/>
    <mergeCell ref="SFK78:SFL78"/>
    <mergeCell ref="SFM78:SFN78"/>
    <mergeCell ref="SFO78:SFP78"/>
    <mergeCell ref="SFQ78:SFR78"/>
    <mergeCell ref="SFS78:SFT78"/>
    <mergeCell ref="SFA78:SFB78"/>
    <mergeCell ref="SFC78:SFD78"/>
    <mergeCell ref="SFE78:SFF78"/>
    <mergeCell ref="SFG78:SFH78"/>
    <mergeCell ref="SFI78:SFJ78"/>
    <mergeCell ref="SHS78:SHT78"/>
    <mergeCell ref="SHU78:SHV78"/>
    <mergeCell ref="SHW78:SHX78"/>
    <mergeCell ref="SHY78:SHZ78"/>
    <mergeCell ref="SIA78:SIB78"/>
    <mergeCell ref="SHI78:SHJ78"/>
    <mergeCell ref="SHK78:SHL78"/>
    <mergeCell ref="SHM78:SHN78"/>
    <mergeCell ref="SHO78:SHP78"/>
    <mergeCell ref="SHQ78:SHR78"/>
    <mergeCell ref="SGY78:SGZ78"/>
    <mergeCell ref="SHA78:SHB78"/>
    <mergeCell ref="SHC78:SHD78"/>
    <mergeCell ref="SHE78:SHF78"/>
    <mergeCell ref="SHG78:SHH78"/>
    <mergeCell ref="SGO78:SGP78"/>
    <mergeCell ref="SGQ78:SGR78"/>
    <mergeCell ref="SGS78:SGT78"/>
    <mergeCell ref="SGU78:SGV78"/>
    <mergeCell ref="SGW78:SGX78"/>
    <mergeCell ref="SJG78:SJH78"/>
    <mergeCell ref="SJI78:SJJ78"/>
    <mergeCell ref="SJK78:SJL78"/>
    <mergeCell ref="SJM78:SJN78"/>
    <mergeCell ref="SJO78:SJP78"/>
    <mergeCell ref="SIW78:SIX78"/>
    <mergeCell ref="SIY78:SIZ78"/>
    <mergeCell ref="SJA78:SJB78"/>
    <mergeCell ref="SJC78:SJD78"/>
    <mergeCell ref="SJE78:SJF78"/>
    <mergeCell ref="SIM78:SIN78"/>
    <mergeCell ref="SIO78:SIP78"/>
    <mergeCell ref="SIQ78:SIR78"/>
    <mergeCell ref="SIS78:SIT78"/>
    <mergeCell ref="SIU78:SIV78"/>
    <mergeCell ref="SIC78:SID78"/>
    <mergeCell ref="SIE78:SIF78"/>
    <mergeCell ref="SIG78:SIH78"/>
    <mergeCell ref="SII78:SIJ78"/>
    <mergeCell ref="SIK78:SIL78"/>
    <mergeCell ref="SKU78:SKV78"/>
    <mergeCell ref="SKW78:SKX78"/>
    <mergeCell ref="SKY78:SKZ78"/>
    <mergeCell ref="SLA78:SLB78"/>
    <mergeCell ref="SLC78:SLD78"/>
    <mergeCell ref="SKK78:SKL78"/>
    <mergeCell ref="SKM78:SKN78"/>
    <mergeCell ref="SKO78:SKP78"/>
    <mergeCell ref="SKQ78:SKR78"/>
    <mergeCell ref="SKS78:SKT78"/>
    <mergeCell ref="SKA78:SKB78"/>
    <mergeCell ref="SKC78:SKD78"/>
    <mergeCell ref="SKE78:SKF78"/>
    <mergeCell ref="SKG78:SKH78"/>
    <mergeCell ref="SKI78:SKJ78"/>
    <mergeCell ref="SJQ78:SJR78"/>
    <mergeCell ref="SJS78:SJT78"/>
    <mergeCell ref="SJU78:SJV78"/>
    <mergeCell ref="SJW78:SJX78"/>
    <mergeCell ref="SJY78:SJZ78"/>
    <mergeCell ref="SMI78:SMJ78"/>
    <mergeCell ref="SMK78:SML78"/>
    <mergeCell ref="SMM78:SMN78"/>
    <mergeCell ref="SMO78:SMP78"/>
    <mergeCell ref="SMQ78:SMR78"/>
    <mergeCell ref="SLY78:SLZ78"/>
    <mergeCell ref="SMA78:SMB78"/>
    <mergeCell ref="SMC78:SMD78"/>
    <mergeCell ref="SME78:SMF78"/>
    <mergeCell ref="SMG78:SMH78"/>
    <mergeCell ref="SLO78:SLP78"/>
    <mergeCell ref="SLQ78:SLR78"/>
    <mergeCell ref="SLS78:SLT78"/>
    <mergeCell ref="SLU78:SLV78"/>
    <mergeCell ref="SLW78:SLX78"/>
    <mergeCell ref="SLE78:SLF78"/>
    <mergeCell ref="SLG78:SLH78"/>
    <mergeCell ref="SLI78:SLJ78"/>
    <mergeCell ref="SLK78:SLL78"/>
    <mergeCell ref="SLM78:SLN78"/>
    <mergeCell ref="SNW78:SNX78"/>
    <mergeCell ref="SNY78:SNZ78"/>
    <mergeCell ref="SOA78:SOB78"/>
    <mergeCell ref="SOC78:SOD78"/>
    <mergeCell ref="SOE78:SOF78"/>
    <mergeCell ref="SNM78:SNN78"/>
    <mergeCell ref="SNO78:SNP78"/>
    <mergeCell ref="SNQ78:SNR78"/>
    <mergeCell ref="SNS78:SNT78"/>
    <mergeCell ref="SNU78:SNV78"/>
    <mergeCell ref="SNC78:SND78"/>
    <mergeCell ref="SNE78:SNF78"/>
    <mergeCell ref="SNG78:SNH78"/>
    <mergeCell ref="SNI78:SNJ78"/>
    <mergeCell ref="SNK78:SNL78"/>
    <mergeCell ref="SMS78:SMT78"/>
    <mergeCell ref="SMU78:SMV78"/>
    <mergeCell ref="SMW78:SMX78"/>
    <mergeCell ref="SMY78:SMZ78"/>
    <mergeCell ref="SNA78:SNB78"/>
    <mergeCell ref="SPK78:SPL78"/>
    <mergeCell ref="SPM78:SPN78"/>
    <mergeCell ref="SPO78:SPP78"/>
    <mergeCell ref="SPQ78:SPR78"/>
    <mergeCell ref="SPS78:SPT78"/>
    <mergeCell ref="SPA78:SPB78"/>
    <mergeCell ref="SPC78:SPD78"/>
    <mergeCell ref="SPE78:SPF78"/>
    <mergeCell ref="SPG78:SPH78"/>
    <mergeCell ref="SPI78:SPJ78"/>
    <mergeCell ref="SOQ78:SOR78"/>
    <mergeCell ref="SOS78:SOT78"/>
    <mergeCell ref="SOU78:SOV78"/>
    <mergeCell ref="SOW78:SOX78"/>
    <mergeCell ref="SOY78:SOZ78"/>
    <mergeCell ref="SOG78:SOH78"/>
    <mergeCell ref="SOI78:SOJ78"/>
    <mergeCell ref="SOK78:SOL78"/>
    <mergeCell ref="SOM78:SON78"/>
    <mergeCell ref="SOO78:SOP78"/>
    <mergeCell ref="SQY78:SQZ78"/>
    <mergeCell ref="SRA78:SRB78"/>
    <mergeCell ref="SRC78:SRD78"/>
    <mergeCell ref="SRE78:SRF78"/>
    <mergeCell ref="SRG78:SRH78"/>
    <mergeCell ref="SQO78:SQP78"/>
    <mergeCell ref="SQQ78:SQR78"/>
    <mergeCell ref="SQS78:SQT78"/>
    <mergeCell ref="SQU78:SQV78"/>
    <mergeCell ref="SQW78:SQX78"/>
    <mergeCell ref="SQE78:SQF78"/>
    <mergeCell ref="SQG78:SQH78"/>
    <mergeCell ref="SQI78:SQJ78"/>
    <mergeCell ref="SQK78:SQL78"/>
    <mergeCell ref="SQM78:SQN78"/>
    <mergeCell ref="SPU78:SPV78"/>
    <mergeCell ref="SPW78:SPX78"/>
    <mergeCell ref="SPY78:SPZ78"/>
    <mergeCell ref="SQA78:SQB78"/>
    <mergeCell ref="SQC78:SQD78"/>
    <mergeCell ref="SSM78:SSN78"/>
    <mergeCell ref="SSO78:SSP78"/>
    <mergeCell ref="SSQ78:SSR78"/>
    <mergeCell ref="SSS78:SST78"/>
    <mergeCell ref="SSU78:SSV78"/>
    <mergeCell ref="SSC78:SSD78"/>
    <mergeCell ref="SSE78:SSF78"/>
    <mergeCell ref="SSG78:SSH78"/>
    <mergeCell ref="SSI78:SSJ78"/>
    <mergeCell ref="SSK78:SSL78"/>
    <mergeCell ref="SRS78:SRT78"/>
    <mergeCell ref="SRU78:SRV78"/>
    <mergeCell ref="SRW78:SRX78"/>
    <mergeCell ref="SRY78:SRZ78"/>
    <mergeCell ref="SSA78:SSB78"/>
    <mergeCell ref="SRI78:SRJ78"/>
    <mergeCell ref="SRK78:SRL78"/>
    <mergeCell ref="SRM78:SRN78"/>
    <mergeCell ref="SRO78:SRP78"/>
    <mergeCell ref="SRQ78:SRR78"/>
    <mergeCell ref="SUA78:SUB78"/>
    <mergeCell ref="SUC78:SUD78"/>
    <mergeCell ref="SUE78:SUF78"/>
    <mergeCell ref="SUG78:SUH78"/>
    <mergeCell ref="SUI78:SUJ78"/>
    <mergeCell ref="STQ78:STR78"/>
    <mergeCell ref="STS78:STT78"/>
    <mergeCell ref="STU78:STV78"/>
    <mergeCell ref="STW78:STX78"/>
    <mergeCell ref="STY78:STZ78"/>
    <mergeCell ref="STG78:STH78"/>
    <mergeCell ref="STI78:STJ78"/>
    <mergeCell ref="STK78:STL78"/>
    <mergeCell ref="STM78:STN78"/>
    <mergeCell ref="STO78:STP78"/>
    <mergeCell ref="SSW78:SSX78"/>
    <mergeCell ref="SSY78:SSZ78"/>
    <mergeCell ref="STA78:STB78"/>
    <mergeCell ref="STC78:STD78"/>
    <mergeCell ref="STE78:STF78"/>
    <mergeCell ref="SVO78:SVP78"/>
    <mergeCell ref="SVQ78:SVR78"/>
    <mergeCell ref="SVS78:SVT78"/>
    <mergeCell ref="SVU78:SVV78"/>
    <mergeCell ref="SVW78:SVX78"/>
    <mergeCell ref="SVE78:SVF78"/>
    <mergeCell ref="SVG78:SVH78"/>
    <mergeCell ref="SVI78:SVJ78"/>
    <mergeCell ref="SVK78:SVL78"/>
    <mergeCell ref="SVM78:SVN78"/>
    <mergeCell ref="SUU78:SUV78"/>
    <mergeCell ref="SUW78:SUX78"/>
    <mergeCell ref="SUY78:SUZ78"/>
    <mergeCell ref="SVA78:SVB78"/>
    <mergeCell ref="SVC78:SVD78"/>
    <mergeCell ref="SUK78:SUL78"/>
    <mergeCell ref="SUM78:SUN78"/>
    <mergeCell ref="SUO78:SUP78"/>
    <mergeCell ref="SUQ78:SUR78"/>
    <mergeCell ref="SUS78:SUT78"/>
    <mergeCell ref="SXC78:SXD78"/>
    <mergeCell ref="SXE78:SXF78"/>
    <mergeCell ref="SXG78:SXH78"/>
    <mergeCell ref="SXI78:SXJ78"/>
    <mergeCell ref="SXK78:SXL78"/>
    <mergeCell ref="SWS78:SWT78"/>
    <mergeCell ref="SWU78:SWV78"/>
    <mergeCell ref="SWW78:SWX78"/>
    <mergeCell ref="SWY78:SWZ78"/>
    <mergeCell ref="SXA78:SXB78"/>
    <mergeCell ref="SWI78:SWJ78"/>
    <mergeCell ref="SWK78:SWL78"/>
    <mergeCell ref="SWM78:SWN78"/>
    <mergeCell ref="SWO78:SWP78"/>
    <mergeCell ref="SWQ78:SWR78"/>
    <mergeCell ref="SVY78:SVZ78"/>
    <mergeCell ref="SWA78:SWB78"/>
    <mergeCell ref="SWC78:SWD78"/>
    <mergeCell ref="SWE78:SWF78"/>
    <mergeCell ref="SWG78:SWH78"/>
    <mergeCell ref="SYQ78:SYR78"/>
    <mergeCell ref="SYS78:SYT78"/>
    <mergeCell ref="SYU78:SYV78"/>
    <mergeCell ref="SYW78:SYX78"/>
    <mergeCell ref="SYY78:SYZ78"/>
    <mergeCell ref="SYG78:SYH78"/>
    <mergeCell ref="SYI78:SYJ78"/>
    <mergeCell ref="SYK78:SYL78"/>
    <mergeCell ref="SYM78:SYN78"/>
    <mergeCell ref="SYO78:SYP78"/>
    <mergeCell ref="SXW78:SXX78"/>
    <mergeCell ref="SXY78:SXZ78"/>
    <mergeCell ref="SYA78:SYB78"/>
    <mergeCell ref="SYC78:SYD78"/>
    <mergeCell ref="SYE78:SYF78"/>
    <mergeCell ref="SXM78:SXN78"/>
    <mergeCell ref="SXO78:SXP78"/>
    <mergeCell ref="SXQ78:SXR78"/>
    <mergeCell ref="SXS78:SXT78"/>
    <mergeCell ref="SXU78:SXV78"/>
    <mergeCell ref="TAE78:TAF78"/>
    <mergeCell ref="TAG78:TAH78"/>
    <mergeCell ref="TAI78:TAJ78"/>
    <mergeCell ref="TAK78:TAL78"/>
    <mergeCell ref="TAM78:TAN78"/>
    <mergeCell ref="SZU78:SZV78"/>
    <mergeCell ref="SZW78:SZX78"/>
    <mergeCell ref="SZY78:SZZ78"/>
    <mergeCell ref="TAA78:TAB78"/>
    <mergeCell ref="TAC78:TAD78"/>
    <mergeCell ref="SZK78:SZL78"/>
    <mergeCell ref="SZM78:SZN78"/>
    <mergeCell ref="SZO78:SZP78"/>
    <mergeCell ref="SZQ78:SZR78"/>
    <mergeCell ref="SZS78:SZT78"/>
    <mergeCell ref="SZA78:SZB78"/>
    <mergeCell ref="SZC78:SZD78"/>
    <mergeCell ref="SZE78:SZF78"/>
    <mergeCell ref="SZG78:SZH78"/>
    <mergeCell ref="SZI78:SZJ78"/>
    <mergeCell ref="TBS78:TBT78"/>
    <mergeCell ref="TBU78:TBV78"/>
    <mergeCell ref="TBW78:TBX78"/>
    <mergeCell ref="TBY78:TBZ78"/>
    <mergeCell ref="TCA78:TCB78"/>
    <mergeCell ref="TBI78:TBJ78"/>
    <mergeCell ref="TBK78:TBL78"/>
    <mergeCell ref="TBM78:TBN78"/>
    <mergeCell ref="TBO78:TBP78"/>
    <mergeCell ref="TBQ78:TBR78"/>
    <mergeCell ref="TAY78:TAZ78"/>
    <mergeCell ref="TBA78:TBB78"/>
    <mergeCell ref="TBC78:TBD78"/>
    <mergeCell ref="TBE78:TBF78"/>
    <mergeCell ref="TBG78:TBH78"/>
    <mergeCell ref="TAO78:TAP78"/>
    <mergeCell ref="TAQ78:TAR78"/>
    <mergeCell ref="TAS78:TAT78"/>
    <mergeCell ref="TAU78:TAV78"/>
    <mergeCell ref="TAW78:TAX78"/>
    <mergeCell ref="TDG78:TDH78"/>
    <mergeCell ref="TDI78:TDJ78"/>
    <mergeCell ref="TDK78:TDL78"/>
    <mergeCell ref="TDM78:TDN78"/>
    <mergeCell ref="TDO78:TDP78"/>
    <mergeCell ref="TCW78:TCX78"/>
    <mergeCell ref="TCY78:TCZ78"/>
    <mergeCell ref="TDA78:TDB78"/>
    <mergeCell ref="TDC78:TDD78"/>
    <mergeCell ref="TDE78:TDF78"/>
    <mergeCell ref="TCM78:TCN78"/>
    <mergeCell ref="TCO78:TCP78"/>
    <mergeCell ref="TCQ78:TCR78"/>
    <mergeCell ref="TCS78:TCT78"/>
    <mergeCell ref="TCU78:TCV78"/>
    <mergeCell ref="TCC78:TCD78"/>
    <mergeCell ref="TCE78:TCF78"/>
    <mergeCell ref="TCG78:TCH78"/>
    <mergeCell ref="TCI78:TCJ78"/>
    <mergeCell ref="TCK78:TCL78"/>
    <mergeCell ref="TEU78:TEV78"/>
    <mergeCell ref="TEW78:TEX78"/>
    <mergeCell ref="TEY78:TEZ78"/>
    <mergeCell ref="TFA78:TFB78"/>
    <mergeCell ref="TFC78:TFD78"/>
    <mergeCell ref="TEK78:TEL78"/>
    <mergeCell ref="TEM78:TEN78"/>
    <mergeCell ref="TEO78:TEP78"/>
    <mergeCell ref="TEQ78:TER78"/>
    <mergeCell ref="TES78:TET78"/>
    <mergeCell ref="TEA78:TEB78"/>
    <mergeCell ref="TEC78:TED78"/>
    <mergeCell ref="TEE78:TEF78"/>
    <mergeCell ref="TEG78:TEH78"/>
    <mergeCell ref="TEI78:TEJ78"/>
    <mergeCell ref="TDQ78:TDR78"/>
    <mergeCell ref="TDS78:TDT78"/>
    <mergeCell ref="TDU78:TDV78"/>
    <mergeCell ref="TDW78:TDX78"/>
    <mergeCell ref="TDY78:TDZ78"/>
    <mergeCell ref="TGI78:TGJ78"/>
    <mergeCell ref="TGK78:TGL78"/>
    <mergeCell ref="TGM78:TGN78"/>
    <mergeCell ref="TGO78:TGP78"/>
    <mergeCell ref="TGQ78:TGR78"/>
    <mergeCell ref="TFY78:TFZ78"/>
    <mergeCell ref="TGA78:TGB78"/>
    <mergeCell ref="TGC78:TGD78"/>
    <mergeCell ref="TGE78:TGF78"/>
    <mergeCell ref="TGG78:TGH78"/>
    <mergeCell ref="TFO78:TFP78"/>
    <mergeCell ref="TFQ78:TFR78"/>
    <mergeCell ref="TFS78:TFT78"/>
    <mergeCell ref="TFU78:TFV78"/>
    <mergeCell ref="TFW78:TFX78"/>
    <mergeCell ref="TFE78:TFF78"/>
    <mergeCell ref="TFG78:TFH78"/>
    <mergeCell ref="TFI78:TFJ78"/>
    <mergeCell ref="TFK78:TFL78"/>
    <mergeCell ref="TFM78:TFN78"/>
    <mergeCell ref="THW78:THX78"/>
    <mergeCell ref="THY78:THZ78"/>
    <mergeCell ref="TIA78:TIB78"/>
    <mergeCell ref="TIC78:TID78"/>
    <mergeCell ref="TIE78:TIF78"/>
    <mergeCell ref="THM78:THN78"/>
    <mergeCell ref="THO78:THP78"/>
    <mergeCell ref="THQ78:THR78"/>
    <mergeCell ref="THS78:THT78"/>
    <mergeCell ref="THU78:THV78"/>
    <mergeCell ref="THC78:THD78"/>
    <mergeCell ref="THE78:THF78"/>
    <mergeCell ref="THG78:THH78"/>
    <mergeCell ref="THI78:THJ78"/>
    <mergeCell ref="THK78:THL78"/>
    <mergeCell ref="TGS78:TGT78"/>
    <mergeCell ref="TGU78:TGV78"/>
    <mergeCell ref="TGW78:TGX78"/>
    <mergeCell ref="TGY78:TGZ78"/>
    <mergeCell ref="THA78:THB78"/>
    <mergeCell ref="TJK78:TJL78"/>
    <mergeCell ref="TJM78:TJN78"/>
    <mergeCell ref="TJO78:TJP78"/>
    <mergeCell ref="TJQ78:TJR78"/>
    <mergeCell ref="TJS78:TJT78"/>
    <mergeCell ref="TJA78:TJB78"/>
    <mergeCell ref="TJC78:TJD78"/>
    <mergeCell ref="TJE78:TJF78"/>
    <mergeCell ref="TJG78:TJH78"/>
    <mergeCell ref="TJI78:TJJ78"/>
    <mergeCell ref="TIQ78:TIR78"/>
    <mergeCell ref="TIS78:TIT78"/>
    <mergeCell ref="TIU78:TIV78"/>
    <mergeCell ref="TIW78:TIX78"/>
    <mergeCell ref="TIY78:TIZ78"/>
    <mergeCell ref="TIG78:TIH78"/>
    <mergeCell ref="TII78:TIJ78"/>
    <mergeCell ref="TIK78:TIL78"/>
    <mergeCell ref="TIM78:TIN78"/>
    <mergeCell ref="TIO78:TIP78"/>
    <mergeCell ref="TKY78:TKZ78"/>
    <mergeCell ref="TLA78:TLB78"/>
    <mergeCell ref="TLC78:TLD78"/>
    <mergeCell ref="TLE78:TLF78"/>
    <mergeCell ref="TLG78:TLH78"/>
    <mergeCell ref="TKO78:TKP78"/>
    <mergeCell ref="TKQ78:TKR78"/>
    <mergeCell ref="TKS78:TKT78"/>
    <mergeCell ref="TKU78:TKV78"/>
    <mergeCell ref="TKW78:TKX78"/>
    <mergeCell ref="TKE78:TKF78"/>
    <mergeCell ref="TKG78:TKH78"/>
    <mergeCell ref="TKI78:TKJ78"/>
    <mergeCell ref="TKK78:TKL78"/>
    <mergeCell ref="TKM78:TKN78"/>
    <mergeCell ref="TJU78:TJV78"/>
    <mergeCell ref="TJW78:TJX78"/>
    <mergeCell ref="TJY78:TJZ78"/>
    <mergeCell ref="TKA78:TKB78"/>
    <mergeCell ref="TKC78:TKD78"/>
    <mergeCell ref="TMM78:TMN78"/>
    <mergeCell ref="TMO78:TMP78"/>
    <mergeCell ref="TMQ78:TMR78"/>
    <mergeCell ref="TMS78:TMT78"/>
    <mergeCell ref="TMU78:TMV78"/>
    <mergeCell ref="TMC78:TMD78"/>
    <mergeCell ref="TME78:TMF78"/>
    <mergeCell ref="TMG78:TMH78"/>
    <mergeCell ref="TMI78:TMJ78"/>
    <mergeCell ref="TMK78:TML78"/>
    <mergeCell ref="TLS78:TLT78"/>
    <mergeCell ref="TLU78:TLV78"/>
    <mergeCell ref="TLW78:TLX78"/>
    <mergeCell ref="TLY78:TLZ78"/>
    <mergeCell ref="TMA78:TMB78"/>
    <mergeCell ref="TLI78:TLJ78"/>
    <mergeCell ref="TLK78:TLL78"/>
    <mergeCell ref="TLM78:TLN78"/>
    <mergeCell ref="TLO78:TLP78"/>
    <mergeCell ref="TLQ78:TLR78"/>
    <mergeCell ref="TOA78:TOB78"/>
    <mergeCell ref="TOC78:TOD78"/>
    <mergeCell ref="TOE78:TOF78"/>
    <mergeCell ref="TOG78:TOH78"/>
    <mergeCell ref="TOI78:TOJ78"/>
    <mergeCell ref="TNQ78:TNR78"/>
    <mergeCell ref="TNS78:TNT78"/>
    <mergeCell ref="TNU78:TNV78"/>
    <mergeCell ref="TNW78:TNX78"/>
    <mergeCell ref="TNY78:TNZ78"/>
    <mergeCell ref="TNG78:TNH78"/>
    <mergeCell ref="TNI78:TNJ78"/>
    <mergeCell ref="TNK78:TNL78"/>
    <mergeCell ref="TNM78:TNN78"/>
    <mergeCell ref="TNO78:TNP78"/>
    <mergeCell ref="TMW78:TMX78"/>
    <mergeCell ref="TMY78:TMZ78"/>
    <mergeCell ref="TNA78:TNB78"/>
    <mergeCell ref="TNC78:TND78"/>
    <mergeCell ref="TNE78:TNF78"/>
    <mergeCell ref="TPO78:TPP78"/>
    <mergeCell ref="TPQ78:TPR78"/>
    <mergeCell ref="TPS78:TPT78"/>
    <mergeCell ref="TPU78:TPV78"/>
    <mergeCell ref="TPW78:TPX78"/>
    <mergeCell ref="TPE78:TPF78"/>
    <mergeCell ref="TPG78:TPH78"/>
    <mergeCell ref="TPI78:TPJ78"/>
    <mergeCell ref="TPK78:TPL78"/>
    <mergeCell ref="TPM78:TPN78"/>
    <mergeCell ref="TOU78:TOV78"/>
    <mergeCell ref="TOW78:TOX78"/>
    <mergeCell ref="TOY78:TOZ78"/>
    <mergeCell ref="TPA78:TPB78"/>
    <mergeCell ref="TPC78:TPD78"/>
    <mergeCell ref="TOK78:TOL78"/>
    <mergeCell ref="TOM78:TON78"/>
    <mergeCell ref="TOO78:TOP78"/>
    <mergeCell ref="TOQ78:TOR78"/>
    <mergeCell ref="TOS78:TOT78"/>
    <mergeCell ref="TRC78:TRD78"/>
    <mergeCell ref="TRE78:TRF78"/>
    <mergeCell ref="TRG78:TRH78"/>
    <mergeCell ref="TRI78:TRJ78"/>
    <mergeCell ref="TRK78:TRL78"/>
    <mergeCell ref="TQS78:TQT78"/>
    <mergeCell ref="TQU78:TQV78"/>
    <mergeCell ref="TQW78:TQX78"/>
    <mergeCell ref="TQY78:TQZ78"/>
    <mergeCell ref="TRA78:TRB78"/>
    <mergeCell ref="TQI78:TQJ78"/>
    <mergeCell ref="TQK78:TQL78"/>
    <mergeCell ref="TQM78:TQN78"/>
    <mergeCell ref="TQO78:TQP78"/>
    <mergeCell ref="TQQ78:TQR78"/>
    <mergeCell ref="TPY78:TPZ78"/>
    <mergeCell ref="TQA78:TQB78"/>
    <mergeCell ref="TQC78:TQD78"/>
    <mergeCell ref="TQE78:TQF78"/>
    <mergeCell ref="TQG78:TQH78"/>
    <mergeCell ref="TSQ78:TSR78"/>
    <mergeCell ref="TSS78:TST78"/>
    <mergeCell ref="TSU78:TSV78"/>
    <mergeCell ref="TSW78:TSX78"/>
    <mergeCell ref="TSY78:TSZ78"/>
    <mergeCell ref="TSG78:TSH78"/>
    <mergeCell ref="TSI78:TSJ78"/>
    <mergeCell ref="TSK78:TSL78"/>
    <mergeCell ref="TSM78:TSN78"/>
    <mergeCell ref="TSO78:TSP78"/>
    <mergeCell ref="TRW78:TRX78"/>
    <mergeCell ref="TRY78:TRZ78"/>
    <mergeCell ref="TSA78:TSB78"/>
    <mergeCell ref="TSC78:TSD78"/>
    <mergeCell ref="TSE78:TSF78"/>
    <mergeCell ref="TRM78:TRN78"/>
    <mergeCell ref="TRO78:TRP78"/>
    <mergeCell ref="TRQ78:TRR78"/>
    <mergeCell ref="TRS78:TRT78"/>
    <mergeCell ref="TRU78:TRV78"/>
    <mergeCell ref="TUE78:TUF78"/>
    <mergeCell ref="TUG78:TUH78"/>
    <mergeCell ref="TUI78:TUJ78"/>
    <mergeCell ref="TUK78:TUL78"/>
    <mergeCell ref="TUM78:TUN78"/>
    <mergeCell ref="TTU78:TTV78"/>
    <mergeCell ref="TTW78:TTX78"/>
    <mergeCell ref="TTY78:TTZ78"/>
    <mergeCell ref="TUA78:TUB78"/>
    <mergeCell ref="TUC78:TUD78"/>
    <mergeCell ref="TTK78:TTL78"/>
    <mergeCell ref="TTM78:TTN78"/>
    <mergeCell ref="TTO78:TTP78"/>
    <mergeCell ref="TTQ78:TTR78"/>
    <mergeCell ref="TTS78:TTT78"/>
    <mergeCell ref="TTA78:TTB78"/>
    <mergeCell ref="TTC78:TTD78"/>
    <mergeCell ref="TTE78:TTF78"/>
    <mergeCell ref="TTG78:TTH78"/>
    <mergeCell ref="TTI78:TTJ78"/>
    <mergeCell ref="TVS78:TVT78"/>
    <mergeCell ref="TVU78:TVV78"/>
    <mergeCell ref="TVW78:TVX78"/>
    <mergeCell ref="TVY78:TVZ78"/>
    <mergeCell ref="TWA78:TWB78"/>
    <mergeCell ref="TVI78:TVJ78"/>
    <mergeCell ref="TVK78:TVL78"/>
    <mergeCell ref="TVM78:TVN78"/>
    <mergeCell ref="TVO78:TVP78"/>
    <mergeCell ref="TVQ78:TVR78"/>
    <mergeCell ref="TUY78:TUZ78"/>
    <mergeCell ref="TVA78:TVB78"/>
    <mergeCell ref="TVC78:TVD78"/>
    <mergeCell ref="TVE78:TVF78"/>
    <mergeCell ref="TVG78:TVH78"/>
    <mergeCell ref="TUO78:TUP78"/>
    <mergeCell ref="TUQ78:TUR78"/>
    <mergeCell ref="TUS78:TUT78"/>
    <mergeCell ref="TUU78:TUV78"/>
    <mergeCell ref="TUW78:TUX78"/>
    <mergeCell ref="TXG78:TXH78"/>
    <mergeCell ref="TXI78:TXJ78"/>
    <mergeCell ref="TXK78:TXL78"/>
    <mergeCell ref="TXM78:TXN78"/>
    <mergeCell ref="TXO78:TXP78"/>
    <mergeCell ref="TWW78:TWX78"/>
    <mergeCell ref="TWY78:TWZ78"/>
    <mergeCell ref="TXA78:TXB78"/>
    <mergeCell ref="TXC78:TXD78"/>
    <mergeCell ref="TXE78:TXF78"/>
    <mergeCell ref="TWM78:TWN78"/>
    <mergeCell ref="TWO78:TWP78"/>
    <mergeCell ref="TWQ78:TWR78"/>
    <mergeCell ref="TWS78:TWT78"/>
    <mergeCell ref="TWU78:TWV78"/>
    <mergeCell ref="TWC78:TWD78"/>
    <mergeCell ref="TWE78:TWF78"/>
    <mergeCell ref="TWG78:TWH78"/>
    <mergeCell ref="TWI78:TWJ78"/>
    <mergeCell ref="TWK78:TWL78"/>
    <mergeCell ref="TYU78:TYV78"/>
    <mergeCell ref="TYW78:TYX78"/>
    <mergeCell ref="TYY78:TYZ78"/>
    <mergeCell ref="TZA78:TZB78"/>
    <mergeCell ref="TZC78:TZD78"/>
    <mergeCell ref="TYK78:TYL78"/>
    <mergeCell ref="TYM78:TYN78"/>
    <mergeCell ref="TYO78:TYP78"/>
    <mergeCell ref="TYQ78:TYR78"/>
    <mergeCell ref="TYS78:TYT78"/>
    <mergeCell ref="TYA78:TYB78"/>
    <mergeCell ref="TYC78:TYD78"/>
    <mergeCell ref="TYE78:TYF78"/>
    <mergeCell ref="TYG78:TYH78"/>
    <mergeCell ref="TYI78:TYJ78"/>
    <mergeCell ref="TXQ78:TXR78"/>
    <mergeCell ref="TXS78:TXT78"/>
    <mergeCell ref="TXU78:TXV78"/>
    <mergeCell ref="TXW78:TXX78"/>
    <mergeCell ref="TXY78:TXZ78"/>
    <mergeCell ref="UAI78:UAJ78"/>
    <mergeCell ref="UAK78:UAL78"/>
    <mergeCell ref="UAM78:UAN78"/>
    <mergeCell ref="UAO78:UAP78"/>
    <mergeCell ref="UAQ78:UAR78"/>
    <mergeCell ref="TZY78:TZZ78"/>
    <mergeCell ref="UAA78:UAB78"/>
    <mergeCell ref="UAC78:UAD78"/>
    <mergeCell ref="UAE78:UAF78"/>
    <mergeCell ref="UAG78:UAH78"/>
    <mergeCell ref="TZO78:TZP78"/>
    <mergeCell ref="TZQ78:TZR78"/>
    <mergeCell ref="TZS78:TZT78"/>
    <mergeCell ref="TZU78:TZV78"/>
    <mergeCell ref="TZW78:TZX78"/>
    <mergeCell ref="TZE78:TZF78"/>
    <mergeCell ref="TZG78:TZH78"/>
    <mergeCell ref="TZI78:TZJ78"/>
    <mergeCell ref="TZK78:TZL78"/>
    <mergeCell ref="TZM78:TZN78"/>
    <mergeCell ref="UBW78:UBX78"/>
    <mergeCell ref="UBY78:UBZ78"/>
    <mergeCell ref="UCA78:UCB78"/>
    <mergeCell ref="UCC78:UCD78"/>
    <mergeCell ref="UCE78:UCF78"/>
    <mergeCell ref="UBM78:UBN78"/>
    <mergeCell ref="UBO78:UBP78"/>
    <mergeCell ref="UBQ78:UBR78"/>
    <mergeCell ref="UBS78:UBT78"/>
    <mergeCell ref="UBU78:UBV78"/>
    <mergeCell ref="UBC78:UBD78"/>
    <mergeCell ref="UBE78:UBF78"/>
    <mergeCell ref="UBG78:UBH78"/>
    <mergeCell ref="UBI78:UBJ78"/>
    <mergeCell ref="UBK78:UBL78"/>
    <mergeCell ref="UAS78:UAT78"/>
    <mergeCell ref="UAU78:UAV78"/>
    <mergeCell ref="UAW78:UAX78"/>
    <mergeCell ref="UAY78:UAZ78"/>
    <mergeCell ref="UBA78:UBB78"/>
    <mergeCell ref="UDK78:UDL78"/>
    <mergeCell ref="UDM78:UDN78"/>
    <mergeCell ref="UDO78:UDP78"/>
    <mergeCell ref="UDQ78:UDR78"/>
    <mergeCell ref="UDS78:UDT78"/>
    <mergeCell ref="UDA78:UDB78"/>
    <mergeCell ref="UDC78:UDD78"/>
    <mergeCell ref="UDE78:UDF78"/>
    <mergeCell ref="UDG78:UDH78"/>
    <mergeCell ref="UDI78:UDJ78"/>
    <mergeCell ref="UCQ78:UCR78"/>
    <mergeCell ref="UCS78:UCT78"/>
    <mergeCell ref="UCU78:UCV78"/>
    <mergeCell ref="UCW78:UCX78"/>
    <mergeCell ref="UCY78:UCZ78"/>
    <mergeCell ref="UCG78:UCH78"/>
    <mergeCell ref="UCI78:UCJ78"/>
    <mergeCell ref="UCK78:UCL78"/>
    <mergeCell ref="UCM78:UCN78"/>
    <mergeCell ref="UCO78:UCP78"/>
    <mergeCell ref="UEY78:UEZ78"/>
    <mergeCell ref="UFA78:UFB78"/>
    <mergeCell ref="UFC78:UFD78"/>
    <mergeCell ref="UFE78:UFF78"/>
    <mergeCell ref="UFG78:UFH78"/>
    <mergeCell ref="UEO78:UEP78"/>
    <mergeCell ref="UEQ78:UER78"/>
    <mergeCell ref="UES78:UET78"/>
    <mergeCell ref="UEU78:UEV78"/>
    <mergeCell ref="UEW78:UEX78"/>
    <mergeCell ref="UEE78:UEF78"/>
    <mergeCell ref="UEG78:UEH78"/>
    <mergeCell ref="UEI78:UEJ78"/>
    <mergeCell ref="UEK78:UEL78"/>
    <mergeCell ref="UEM78:UEN78"/>
    <mergeCell ref="UDU78:UDV78"/>
    <mergeCell ref="UDW78:UDX78"/>
    <mergeCell ref="UDY78:UDZ78"/>
    <mergeCell ref="UEA78:UEB78"/>
    <mergeCell ref="UEC78:UED78"/>
    <mergeCell ref="UGM78:UGN78"/>
    <mergeCell ref="UGO78:UGP78"/>
    <mergeCell ref="UGQ78:UGR78"/>
    <mergeCell ref="UGS78:UGT78"/>
    <mergeCell ref="UGU78:UGV78"/>
    <mergeCell ref="UGC78:UGD78"/>
    <mergeCell ref="UGE78:UGF78"/>
    <mergeCell ref="UGG78:UGH78"/>
    <mergeCell ref="UGI78:UGJ78"/>
    <mergeCell ref="UGK78:UGL78"/>
    <mergeCell ref="UFS78:UFT78"/>
    <mergeCell ref="UFU78:UFV78"/>
    <mergeCell ref="UFW78:UFX78"/>
    <mergeCell ref="UFY78:UFZ78"/>
    <mergeCell ref="UGA78:UGB78"/>
    <mergeCell ref="UFI78:UFJ78"/>
    <mergeCell ref="UFK78:UFL78"/>
    <mergeCell ref="UFM78:UFN78"/>
    <mergeCell ref="UFO78:UFP78"/>
    <mergeCell ref="UFQ78:UFR78"/>
    <mergeCell ref="UIA78:UIB78"/>
    <mergeCell ref="UIC78:UID78"/>
    <mergeCell ref="UIE78:UIF78"/>
    <mergeCell ref="UIG78:UIH78"/>
    <mergeCell ref="UII78:UIJ78"/>
    <mergeCell ref="UHQ78:UHR78"/>
    <mergeCell ref="UHS78:UHT78"/>
    <mergeCell ref="UHU78:UHV78"/>
    <mergeCell ref="UHW78:UHX78"/>
    <mergeCell ref="UHY78:UHZ78"/>
    <mergeCell ref="UHG78:UHH78"/>
    <mergeCell ref="UHI78:UHJ78"/>
    <mergeCell ref="UHK78:UHL78"/>
    <mergeCell ref="UHM78:UHN78"/>
    <mergeCell ref="UHO78:UHP78"/>
    <mergeCell ref="UGW78:UGX78"/>
    <mergeCell ref="UGY78:UGZ78"/>
    <mergeCell ref="UHA78:UHB78"/>
    <mergeCell ref="UHC78:UHD78"/>
    <mergeCell ref="UHE78:UHF78"/>
    <mergeCell ref="UJO78:UJP78"/>
    <mergeCell ref="UJQ78:UJR78"/>
    <mergeCell ref="UJS78:UJT78"/>
    <mergeCell ref="UJU78:UJV78"/>
    <mergeCell ref="UJW78:UJX78"/>
    <mergeCell ref="UJE78:UJF78"/>
    <mergeCell ref="UJG78:UJH78"/>
    <mergeCell ref="UJI78:UJJ78"/>
    <mergeCell ref="UJK78:UJL78"/>
    <mergeCell ref="UJM78:UJN78"/>
    <mergeCell ref="UIU78:UIV78"/>
    <mergeCell ref="UIW78:UIX78"/>
    <mergeCell ref="UIY78:UIZ78"/>
    <mergeCell ref="UJA78:UJB78"/>
    <mergeCell ref="UJC78:UJD78"/>
    <mergeCell ref="UIK78:UIL78"/>
    <mergeCell ref="UIM78:UIN78"/>
    <mergeCell ref="UIO78:UIP78"/>
    <mergeCell ref="UIQ78:UIR78"/>
    <mergeCell ref="UIS78:UIT78"/>
    <mergeCell ref="ULC78:ULD78"/>
    <mergeCell ref="ULE78:ULF78"/>
    <mergeCell ref="ULG78:ULH78"/>
    <mergeCell ref="ULI78:ULJ78"/>
    <mergeCell ref="ULK78:ULL78"/>
    <mergeCell ref="UKS78:UKT78"/>
    <mergeCell ref="UKU78:UKV78"/>
    <mergeCell ref="UKW78:UKX78"/>
    <mergeCell ref="UKY78:UKZ78"/>
    <mergeCell ref="ULA78:ULB78"/>
    <mergeCell ref="UKI78:UKJ78"/>
    <mergeCell ref="UKK78:UKL78"/>
    <mergeCell ref="UKM78:UKN78"/>
    <mergeCell ref="UKO78:UKP78"/>
    <mergeCell ref="UKQ78:UKR78"/>
    <mergeCell ref="UJY78:UJZ78"/>
    <mergeCell ref="UKA78:UKB78"/>
    <mergeCell ref="UKC78:UKD78"/>
    <mergeCell ref="UKE78:UKF78"/>
    <mergeCell ref="UKG78:UKH78"/>
    <mergeCell ref="UMQ78:UMR78"/>
    <mergeCell ref="UMS78:UMT78"/>
    <mergeCell ref="UMU78:UMV78"/>
    <mergeCell ref="UMW78:UMX78"/>
    <mergeCell ref="UMY78:UMZ78"/>
    <mergeCell ref="UMG78:UMH78"/>
    <mergeCell ref="UMI78:UMJ78"/>
    <mergeCell ref="UMK78:UML78"/>
    <mergeCell ref="UMM78:UMN78"/>
    <mergeCell ref="UMO78:UMP78"/>
    <mergeCell ref="ULW78:ULX78"/>
    <mergeCell ref="ULY78:ULZ78"/>
    <mergeCell ref="UMA78:UMB78"/>
    <mergeCell ref="UMC78:UMD78"/>
    <mergeCell ref="UME78:UMF78"/>
    <mergeCell ref="ULM78:ULN78"/>
    <mergeCell ref="ULO78:ULP78"/>
    <mergeCell ref="ULQ78:ULR78"/>
    <mergeCell ref="ULS78:ULT78"/>
    <mergeCell ref="ULU78:ULV78"/>
    <mergeCell ref="UOE78:UOF78"/>
    <mergeCell ref="UOG78:UOH78"/>
    <mergeCell ref="UOI78:UOJ78"/>
    <mergeCell ref="UOK78:UOL78"/>
    <mergeCell ref="UOM78:UON78"/>
    <mergeCell ref="UNU78:UNV78"/>
    <mergeCell ref="UNW78:UNX78"/>
    <mergeCell ref="UNY78:UNZ78"/>
    <mergeCell ref="UOA78:UOB78"/>
    <mergeCell ref="UOC78:UOD78"/>
    <mergeCell ref="UNK78:UNL78"/>
    <mergeCell ref="UNM78:UNN78"/>
    <mergeCell ref="UNO78:UNP78"/>
    <mergeCell ref="UNQ78:UNR78"/>
    <mergeCell ref="UNS78:UNT78"/>
    <mergeCell ref="UNA78:UNB78"/>
    <mergeCell ref="UNC78:UND78"/>
    <mergeCell ref="UNE78:UNF78"/>
    <mergeCell ref="UNG78:UNH78"/>
    <mergeCell ref="UNI78:UNJ78"/>
    <mergeCell ref="UPS78:UPT78"/>
    <mergeCell ref="UPU78:UPV78"/>
    <mergeCell ref="UPW78:UPX78"/>
    <mergeCell ref="UPY78:UPZ78"/>
    <mergeCell ref="UQA78:UQB78"/>
    <mergeCell ref="UPI78:UPJ78"/>
    <mergeCell ref="UPK78:UPL78"/>
    <mergeCell ref="UPM78:UPN78"/>
    <mergeCell ref="UPO78:UPP78"/>
    <mergeCell ref="UPQ78:UPR78"/>
    <mergeCell ref="UOY78:UOZ78"/>
    <mergeCell ref="UPA78:UPB78"/>
    <mergeCell ref="UPC78:UPD78"/>
    <mergeCell ref="UPE78:UPF78"/>
    <mergeCell ref="UPG78:UPH78"/>
    <mergeCell ref="UOO78:UOP78"/>
    <mergeCell ref="UOQ78:UOR78"/>
    <mergeCell ref="UOS78:UOT78"/>
    <mergeCell ref="UOU78:UOV78"/>
    <mergeCell ref="UOW78:UOX78"/>
    <mergeCell ref="URG78:URH78"/>
    <mergeCell ref="URI78:URJ78"/>
    <mergeCell ref="URK78:URL78"/>
    <mergeCell ref="URM78:URN78"/>
    <mergeCell ref="URO78:URP78"/>
    <mergeCell ref="UQW78:UQX78"/>
    <mergeCell ref="UQY78:UQZ78"/>
    <mergeCell ref="URA78:URB78"/>
    <mergeCell ref="URC78:URD78"/>
    <mergeCell ref="URE78:URF78"/>
    <mergeCell ref="UQM78:UQN78"/>
    <mergeCell ref="UQO78:UQP78"/>
    <mergeCell ref="UQQ78:UQR78"/>
    <mergeCell ref="UQS78:UQT78"/>
    <mergeCell ref="UQU78:UQV78"/>
    <mergeCell ref="UQC78:UQD78"/>
    <mergeCell ref="UQE78:UQF78"/>
    <mergeCell ref="UQG78:UQH78"/>
    <mergeCell ref="UQI78:UQJ78"/>
    <mergeCell ref="UQK78:UQL78"/>
    <mergeCell ref="USU78:USV78"/>
    <mergeCell ref="USW78:USX78"/>
    <mergeCell ref="USY78:USZ78"/>
    <mergeCell ref="UTA78:UTB78"/>
    <mergeCell ref="UTC78:UTD78"/>
    <mergeCell ref="USK78:USL78"/>
    <mergeCell ref="USM78:USN78"/>
    <mergeCell ref="USO78:USP78"/>
    <mergeCell ref="USQ78:USR78"/>
    <mergeCell ref="USS78:UST78"/>
    <mergeCell ref="USA78:USB78"/>
    <mergeCell ref="USC78:USD78"/>
    <mergeCell ref="USE78:USF78"/>
    <mergeCell ref="USG78:USH78"/>
    <mergeCell ref="USI78:USJ78"/>
    <mergeCell ref="URQ78:URR78"/>
    <mergeCell ref="URS78:URT78"/>
    <mergeCell ref="URU78:URV78"/>
    <mergeCell ref="URW78:URX78"/>
    <mergeCell ref="URY78:URZ78"/>
    <mergeCell ref="UUI78:UUJ78"/>
    <mergeCell ref="UUK78:UUL78"/>
    <mergeCell ref="UUM78:UUN78"/>
    <mergeCell ref="UUO78:UUP78"/>
    <mergeCell ref="UUQ78:UUR78"/>
    <mergeCell ref="UTY78:UTZ78"/>
    <mergeCell ref="UUA78:UUB78"/>
    <mergeCell ref="UUC78:UUD78"/>
    <mergeCell ref="UUE78:UUF78"/>
    <mergeCell ref="UUG78:UUH78"/>
    <mergeCell ref="UTO78:UTP78"/>
    <mergeCell ref="UTQ78:UTR78"/>
    <mergeCell ref="UTS78:UTT78"/>
    <mergeCell ref="UTU78:UTV78"/>
    <mergeCell ref="UTW78:UTX78"/>
    <mergeCell ref="UTE78:UTF78"/>
    <mergeCell ref="UTG78:UTH78"/>
    <mergeCell ref="UTI78:UTJ78"/>
    <mergeCell ref="UTK78:UTL78"/>
    <mergeCell ref="UTM78:UTN78"/>
    <mergeCell ref="UVW78:UVX78"/>
    <mergeCell ref="UVY78:UVZ78"/>
    <mergeCell ref="UWA78:UWB78"/>
    <mergeCell ref="UWC78:UWD78"/>
    <mergeCell ref="UWE78:UWF78"/>
    <mergeCell ref="UVM78:UVN78"/>
    <mergeCell ref="UVO78:UVP78"/>
    <mergeCell ref="UVQ78:UVR78"/>
    <mergeCell ref="UVS78:UVT78"/>
    <mergeCell ref="UVU78:UVV78"/>
    <mergeCell ref="UVC78:UVD78"/>
    <mergeCell ref="UVE78:UVF78"/>
    <mergeCell ref="UVG78:UVH78"/>
    <mergeCell ref="UVI78:UVJ78"/>
    <mergeCell ref="UVK78:UVL78"/>
    <mergeCell ref="UUS78:UUT78"/>
    <mergeCell ref="UUU78:UUV78"/>
    <mergeCell ref="UUW78:UUX78"/>
    <mergeCell ref="UUY78:UUZ78"/>
    <mergeCell ref="UVA78:UVB78"/>
    <mergeCell ref="UXK78:UXL78"/>
    <mergeCell ref="UXM78:UXN78"/>
    <mergeCell ref="UXO78:UXP78"/>
    <mergeCell ref="UXQ78:UXR78"/>
    <mergeCell ref="UXS78:UXT78"/>
    <mergeCell ref="UXA78:UXB78"/>
    <mergeCell ref="UXC78:UXD78"/>
    <mergeCell ref="UXE78:UXF78"/>
    <mergeCell ref="UXG78:UXH78"/>
    <mergeCell ref="UXI78:UXJ78"/>
    <mergeCell ref="UWQ78:UWR78"/>
    <mergeCell ref="UWS78:UWT78"/>
    <mergeCell ref="UWU78:UWV78"/>
    <mergeCell ref="UWW78:UWX78"/>
    <mergeCell ref="UWY78:UWZ78"/>
    <mergeCell ref="UWG78:UWH78"/>
    <mergeCell ref="UWI78:UWJ78"/>
    <mergeCell ref="UWK78:UWL78"/>
    <mergeCell ref="UWM78:UWN78"/>
    <mergeCell ref="UWO78:UWP78"/>
    <mergeCell ref="UYY78:UYZ78"/>
    <mergeCell ref="UZA78:UZB78"/>
    <mergeCell ref="UZC78:UZD78"/>
    <mergeCell ref="UZE78:UZF78"/>
    <mergeCell ref="UZG78:UZH78"/>
    <mergeCell ref="UYO78:UYP78"/>
    <mergeCell ref="UYQ78:UYR78"/>
    <mergeCell ref="UYS78:UYT78"/>
    <mergeCell ref="UYU78:UYV78"/>
    <mergeCell ref="UYW78:UYX78"/>
    <mergeCell ref="UYE78:UYF78"/>
    <mergeCell ref="UYG78:UYH78"/>
    <mergeCell ref="UYI78:UYJ78"/>
    <mergeCell ref="UYK78:UYL78"/>
    <mergeCell ref="UYM78:UYN78"/>
    <mergeCell ref="UXU78:UXV78"/>
    <mergeCell ref="UXW78:UXX78"/>
    <mergeCell ref="UXY78:UXZ78"/>
    <mergeCell ref="UYA78:UYB78"/>
    <mergeCell ref="UYC78:UYD78"/>
    <mergeCell ref="VAM78:VAN78"/>
    <mergeCell ref="VAO78:VAP78"/>
    <mergeCell ref="VAQ78:VAR78"/>
    <mergeCell ref="VAS78:VAT78"/>
    <mergeCell ref="VAU78:VAV78"/>
    <mergeCell ref="VAC78:VAD78"/>
    <mergeCell ref="VAE78:VAF78"/>
    <mergeCell ref="VAG78:VAH78"/>
    <mergeCell ref="VAI78:VAJ78"/>
    <mergeCell ref="VAK78:VAL78"/>
    <mergeCell ref="UZS78:UZT78"/>
    <mergeCell ref="UZU78:UZV78"/>
    <mergeCell ref="UZW78:UZX78"/>
    <mergeCell ref="UZY78:UZZ78"/>
    <mergeCell ref="VAA78:VAB78"/>
    <mergeCell ref="UZI78:UZJ78"/>
    <mergeCell ref="UZK78:UZL78"/>
    <mergeCell ref="UZM78:UZN78"/>
    <mergeCell ref="UZO78:UZP78"/>
    <mergeCell ref="UZQ78:UZR78"/>
    <mergeCell ref="VCA78:VCB78"/>
    <mergeCell ref="VCC78:VCD78"/>
    <mergeCell ref="VCE78:VCF78"/>
    <mergeCell ref="VCG78:VCH78"/>
    <mergeCell ref="VCI78:VCJ78"/>
    <mergeCell ref="VBQ78:VBR78"/>
    <mergeCell ref="VBS78:VBT78"/>
    <mergeCell ref="VBU78:VBV78"/>
    <mergeCell ref="VBW78:VBX78"/>
    <mergeCell ref="VBY78:VBZ78"/>
    <mergeCell ref="VBG78:VBH78"/>
    <mergeCell ref="VBI78:VBJ78"/>
    <mergeCell ref="VBK78:VBL78"/>
    <mergeCell ref="VBM78:VBN78"/>
    <mergeCell ref="VBO78:VBP78"/>
    <mergeCell ref="VAW78:VAX78"/>
    <mergeCell ref="VAY78:VAZ78"/>
    <mergeCell ref="VBA78:VBB78"/>
    <mergeCell ref="VBC78:VBD78"/>
    <mergeCell ref="VBE78:VBF78"/>
    <mergeCell ref="VDO78:VDP78"/>
    <mergeCell ref="VDQ78:VDR78"/>
    <mergeCell ref="VDS78:VDT78"/>
    <mergeCell ref="VDU78:VDV78"/>
    <mergeCell ref="VDW78:VDX78"/>
    <mergeCell ref="VDE78:VDF78"/>
    <mergeCell ref="VDG78:VDH78"/>
    <mergeCell ref="VDI78:VDJ78"/>
    <mergeCell ref="VDK78:VDL78"/>
    <mergeCell ref="VDM78:VDN78"/>
    <mergeCell ref="VCU78:VCV78"/>
    <mergeCell ref="VCW78:VCX78"/>
    <mergeCell ref="VCY78:VCZ78"/>
    <mergeCell ref="VDA78:VDB78"/>
    <mergeCell ref="VDC78:VDD78"/>
    <mergeCell ref="VCK78:VCL78"/>
    <mergeCell ref="VCM78:VCN78"/>
    <mergeCell ref="VCO78:VCP78"/>
    <mergeCell ref="VCQ78:VCR78"/>
    <mergeCell ref="VCS78:VCT78"/>
    <mergeCell ref="VFC78:VFD78"/>
    <mergeCell ref="VFE78:VFF78"/>
    <mergeCell ref="VFG78:VFH78"/>
    <mergeCell ref="VFI78:VFJ78"/>
    <mergeCell ref="VFK78:VFL78"/>
    <mergeCell ref="VES78:VET78"/>
    <mergeCell ref="VEU78:VEV78"/>
    <mergeCell ref="VEW78:VEX78"/>
    <mergeCell ref="VEY78:VEZ78"/>
    <mergeCell ref="VFA78:VFB78"/>
    <mergeCell ref="VEI78:VEJ78"/>
    <mergeCell ref="VEK78:VEL78"/>
    <mergeCell ref="VEM78:VEN78"/>
    <mergeCell ref="VEO78:VEP78"/>
    <mergeCell ref="VEQ78:VER78"/>
    <mergeCell ref="VDY78:VDZ78"/>
    <mergeCell ref="VEA78:VEB78"/>
    <mergeCell ref="VEC78:VED78"/>
    <mergeCell ref="VEE78:VEF78"/>
    <mergeCell ref="VEG78:VEH78"/>
    <mergeCell ref="VGQ78:VGR78"/>
    <mergeCell ref="VGS78:VGT78"/>
    <mergeCell ref="VGU78:VGV78"/>
    <mergeCell ref="VGW78:VGX78"/>
    <mergeCell ref="VGY78:VGZ78"/>
    <mergeCell ref="VGG78:VGH78"/>
    <mergeCell ref="VGI78:VGJ78"/>
    <mergeCell ref="VGK78:VGL78"/>
    <mergeCell ref="VGM78:VGN78"/>
    <mergeCell ref="VGO78:VGP78"/>
    <mergeCell ref="VFW78:VFX78"/>
    <mergeCell ref="VFY78:VFZ78"/>
    <mergeCell ref="VGA78:VGB78"/>
    <mergeCell ref="VGC78:VGD78"/>
    <mergeCell ref="VGE78:VGF78"/>
    <mergeCell ref="VFM78:VFN78"/>
    <mergeCell ref="VFO78:VFP78"/>
    <mergeCell ref="VFQ78:VFR78"/>
    <mergeCell ref="VFS78:VFT78"/>
    <mergeCell ref="VFU78:VFV78"/>
    <mergeCell ref="VIE78:VIF78"/>
    <mergeCell ref="VIG78:VIH78"/>
    <mergeCell ref="VII78:VIJ78"/>
    <mergeCell ref="VIK78:VIL78"/>
    <mergeCell ref="VIM78:VIN78"/>
    <mergeCell ref="VHU78:VHV78"/>
    <mergeCell ref="VHW78:VHX78"/>
    <mergeCell ref="VHY78:VHZ78"/>
    <mergeCell ref="VIA78:VIB78"/>
    <mergeCell ref="VIC78:VID78"/>
    <mergeCell ref="VHK78:VHL78"/>
    <mergeCell ref="VHM78:VHN78"/>
    <mergeCell ref="VHO78:VHP78"/>
    <mergeCell ref="VHQ78:VHR78"/>
    <mergeCell ref="VHS78:VHT78"/>
    <mergeCell ref="VHA78:VHB78"/>
    <mergeCell ref="VHC78:VHD78"/>
    <mergeCell ref="VHE78:VHF78"/>
    <mergeCell ref="VHG78:VHH78"/>
    <mergeCell ref="VHI78:VHJ78"/>
    <mergeCell ref="VJS78:VJT78"/>
    <mergeCell ref="VJU78:VJV78"/>
    <mergeCell ref="VJW78:VJX78"/>
    <mergeCell ref="VJY78:VJZ78"/>
    <mergeCell ref="VKA78:VKB78"/>
    <mergeCell ref="VJI78:VJJ78"/>
    <mergeCell ref="VJK78:VJL78"/>
    <mergeCell ref="VJM78:VJN78"/>
    <mergeCell ref="VJO78:VJP78"/>
    <mergeCell ref="VJQ78:VJR78"/>
    <mergeCell ref="VIY78:VIZ78"/>
    <mergeCell ref="VJA78:VJB78"/>
    <mergeCell ref="VJC78:VJD78"/>
    <mergeCell ref="VJE78:VJF78"/>
    <mergeCell ref="VJG78:VJH78"/>
    <mergeCell ref="VIO78:VIP78"/>
    <mergeCell ref="VIQ78:VIR78"/>
    <mergeCell ref="VIS78:VIT78"/>
    <mergeCell ref="VIU78:VIV78"/>
    <mergeCell ref="VIW78:VIX78"/>
    <mergeCell ref="VLG78:VLH78"/>
    <mergeCell ref="VLI78:VLJ78"/>
    <mergeCell ref="VLK78:VLL78"/>
    <mergeCell ref="VLM78:VLN78"/>
    <mergeCell ref="VLO78:VLP78"/>
    <mergeCell ref="VKW78:VKX78"/>
    <mergeCell ref="VKY78:VKZ78"/>
    <mergeCell ref="VLA78:VLB78"/>
    <mergeCell ref="VLC78:VLD78"/>
    <mergeCell ref="VLE78:VLF78"/>
    <mergeCell ref="VKM78:VKN78"/>
    <mergeCell ref="VKO78:VKP78"/>
    <mergeCell ref="VKQ78:VKR78"/>
    <mergeCell ref="VKS78:VKT78"/>
    <mergeCell ref="VKU78:VKV78"/>
    <mergeCell ref="VKC78:VKD78"/>
    <mergeCell ref="VKE78:VKF78"/>
    <mergeCell ref="VKG78:VKH78"/>
    <mergeCell ref="VKI78:VKJ78"/>
    <mergeCell ref="VKK78:VKL78"/>
    <mergeCell ref="VMU78:VMV78"/>
    <mergeCell ref="VMW78:VMX78"/>
    <mergeCell ref="VMY78:VMZ78"/>
    <mergeCell ref="VNA78:VNB78"/>
    <mergeCell ref="VNC78:VND78"/>
    <mergeCell ref="VMK78:VML78"/>
    <mergeCell ref="VMM78:VMN78"/>
    <mergeCell ref="VMO78:VMP78"/>
    <mergeCell ref="VMQ78:VMR78"/>
    <mergeCell ref="VMS78:VMT78"/>
    <mergeCell ref="VMA78:VMB78"/>
    <mergeCell ref="VMC78:VMD78"/>
    <mergeCell ref="VME78:VMF78"/>
    <mergeCell ref="VMG78:VMH78"/>
    <mergeCell ref="VMI78:VMJ78"/>
    <mergeCell ref="VLQ78:VLR78"/>
    <mergeCell ref="VLS78:VLT78"/>
    <mergeCell ref="VLU78:VLV78"/>
    <mergeCell ref="VLW78:VLX78"/>
    <mergeCell ref="VLY78:VLZ78"/>
    <mergeCell ref="VOI78:VOJ78"/>
    <mergeCell ref="VOK78:VOL78"/>
    <mergeCell ref="VOM78:VON78"/>
    <mergeCell ref="VOO78:VOP78"/>
    <mergeCell ref="VOQ78:VOR78"/>
    <mergeCell ref="VNY78:VNZ78"/>
    <mergeCell ref="VOA78:VOB78"/>
    <mergeCell ref="VOC78:VOD78"/>
    <mergeCell ref="VOE78:VOF78"/>
    <mergeCell ref="VOG78:VOH78"/>
    <mergeCell ref="VNO78:VNP78"/>
    <mergeCell ref="VNQ78:VNR78"/>
    <mergeCell ref="VNS78:VNT78"/>
    <mergeCell ref="VNU78:VNV78"/>
    <mergeCell ref="VNW78:VNX78"/>
    <mergeCell ref="VNE78:VNF78"/>
    <mergeCell ref="VNG78:VNH78"/>
    <mergeCell ref="VNI78:VNJ78"/>
    <mergeCell ref="VNK78:VNL78"/>
    <mergeCell ref="VNM78:VNN78"/>
    <mergeCell ref="VPW78:VPX78"/>
    <mergeCell ref="VPY78:VPZ78"/>
    <mergeCell ref="VQA78:VQB78"/>
    <mergeCell ref="VQC78:VQD78"/>
    <mergeCell ref="VQE78:VQF78"/>
    <mergeCell ref="VPM78:VPN78"/>
    <mergeCell ref="VPO78:VPP78"/>
    <mergeCell ref="VPQ78:VPR78"/>
    <mergeCell ref="VPS78:VPT78"/>
    <mergeCell ref="VPU78:VPV78"/>
    <mergeCell ref="VPC78:VPD78"/>
    <mergeCell ref="VPE78:VPF78"/>
    <mergeCell ref="VPG78:VPH78"/>
    <mergeCell ref="VPI78:VPJ78"/>
    <mergeCell ref="VPK78:VPL78"/>
    <mergeCell ref="VOS78:VOT78"/>
    <mergeCell ref="VOU78:VOV78"/>
    <mergeCell ref="VOW78:VOX78"/>
    <mergeCell ref="VOY78:VOZ78"/>
    <mergeCell ref="VPA78:VPB78"/>
    <mergeCell ref="VRK78:VRL78"/>
    <mergeCell ref="VRM78:VRN78"/>
    <mergeCell ref="VRO78:VRP78"/>
    <mergeCell ref="VRQ78:VRR78"/>
    <mergeCell ref="VRS78:VRT78"/>
    <mergeCell ref="VRA78:VRB78"/>
    <mergeCell ref="VRC78:VRD78"/>
    <mergeCell ref="VRE78:VRF78"/>
    <mergeCell ref="VRG78:VRH78"/>
    <mergeCell ref="VRI78:VRJ78"/>
    <mergeCell ref="VQQ78:VQR78"/>
    <mergeCell ref="VQS78:VQT78"/>
    <mergeCell ref="VQU78:VQV78"/>
    <mergeCell ref="VQW78:VQX78"/>
    <mergeCell ref="VQY78:VQZ78"/>
    <mergeCell ref="VQG78:VQH78"/>
    <mergeCell ref="VQI78:VQJ78"/>
    <mergeCell ref="VQK78:VQL78"/>
    <mergeCell ref="VQM78:VQN78"/>
    <mergeCell ref="VQO78:VQP78"/>
    <mergeCell ref="VSY78:VSZ78"/>
    <mergeCell ref="VTA78:VTB78"/>
    <mergeCell ref="VTC78:VTD78"/>
    <mergeCell ref="VTE78:VTF78"/>
    <mergeCell ref="VTG78:VTH78"/>
    <mergeCell ref="VSO78:VSP78"/>
    <mergeCell ref="VSQ78:VSR78"/>
    <mergeCell ref="VSS78:VST78"/>
    <mergeCell ref="VSU78:VSV78"/>
    <mergeCell ref="VSW78:VSX78"/>
    <mergeCell ref="VSE78:VSF78"/>
    <mergeCell ref="VSG78:VSH78"/>
    <mergeCell ref="VSI78:VSJ78"/>
    <mergeCell ref="VSK78:VSL78"/>
    <mergeCell ref="VSM78:VSN78"/>
    <mergeCell ref="VRU78:VRV78"/>
    <mergeCell ref="VRW78:VRX78"/>
    <mergeCell ref="VRY78:VRZ78"/>
    <mergeCell ref="VSA78:VSB78"/>
    <mergeCell ref="VSC78:VSD78"/>
    <mergeCell ref="VUM78:VUN78"/>
    <mergeCell ref="VUO78:VUP78"/>
    <mergeCell ref="VUQ78:VUR78"/>
    <mergeCell ref="VUS78:VUT78"/>
    <mergeCell ref="VUU78:VUV78"/>
    <mergeCell ref="VUC78:VUD78"/>
    <mergeCell ref="VUE78:VUF78"/>
    <mergeCell ref="VUG78:VUH78"/>
    <mergeCell ref="VUI78:VUJ78"/>
    <mergeCell ref="VUK78:VUL78"/>
    <mergeCell ref="VTS78:VTT78"/>
    <mergeCell ref="VTU78:VTV78"/>
    <mergeCell ref="VTW78:VTX78"/>
    <mergeCell ref="VTY78:VTZ78"/>
    <mergeCell ref="VUA78:VUB78"/>
    <mergeCell ref="VTI78:VTJ78"/>
    <mergeCell ref="VTK78:VTL78"/>
    <mergeCell ref="VTM78:VTN78"/>
    <mergeCell ref="VTO78:VTP78"/>
    <mergeCell ref="VTQ78:VTR78"/>
    <mergeCell ref="VWA78:VWB78"/>
    <mergeCell ref="VWC78:VWD78"/>
    <mergeCell ref="VWE78:VWF78"/>
    <mergeCell ref="VWG78:VWH78"/>
    <mergeCell ref="VWI78:VWJ78"/>
    <mergeCell ref="VVQ78:VVR78"/>
    <mergeCell ref="VVS78:VVT78"/>
    <mergeCell ref="VVU78:VVV78"/>
    <mergeCell ref="VVW78:VVX78"/>
    <mergeCell ref="VVY78:VVZ78"/>
    <mergeCell ref="VVG78:VVH78"/>
    <mergeCell ref="VVI78:VVJ78"/>
    <mergeCell ref="VVK78:VVL78"/>
    <mergeCell ref="VVM78:VVN78"/>
    <mergeCell ref="VVO78:VVP78"/>
    <mergeCell ref="VUW78:VUX78"/>
    <mergeCell ref="VUY78:VUZ78"/>
    <mergeCell ref="VVA78:VVB78"/>
    <mergeCell ref="VVC78:VVD78"/>
    <mergeCell ref="VVE78:VVF78"/>
    <mergeCell ref="VXO78:VXP78"/>
    <mergeCell ref="VXQ78:VXR78"/>
    <mergeCell ref="VXS78:VXT78"/>
    <mergeCell ref="VXU78:VXV78"/>
    <mergeCell ref="VXW78:VXX78"/>
    <mergeCell ref="VXE78:VXF78"/>
    <mergeCell ref="VXG78:VXH78"/>
    <mergeCell ref="VXI78:VXJ78"/>
    <mergeCell ref="VXK78:VXL78"/>
    <mergeCell ref="VXM78:VXN78"/>
    <mergeCell ref="VWU78:VWV78"/>
    <mergeCell ref="VWW78:VWX78"/>
    <mergeCell ref="VWY78:VWZ78"/>
    <mergeCell ref="VXA78:VXB78"/>
    <mergeCell ref="VXC78:VXD78"/>
    <mergeCell ref="VWK78:VWL78"/>
    <mergeCell ref="VWM78:VWN78"/>
    <mergeCell ref="VWO78:VWP78"/>
    <mergeCell ref="VWQ78:VWR78"/>
    <mergeCell ref="VWS78:VWT78"/>
    <mergeCell ref="VZC78:VZD78"/>
    <mergeCell ref="VZE78:VZF78"/>
    <mergeCell ref="VZG78:VZH78"/>
    <mergeCell ref="VZI78:VZJ78"/>
    <mergeCell ref="VZK78:VZL78"/>
    <mergeCell ref="VYS78:VYT78"/>
    <mergeCell ref="VYU78:VYV78"/>
    <mergeCell ref="VYW78:VYX78"/>
    <mergeCell ref="VYY78:VYZ78"/>
    <mergeCell ref="VZA78:VZB78"/>
    <mergeCell ref="VYI78:VYJ78"/>
    <mergeCell ref="VYK78:VYL78"/>
    <mergeCell ref="VYM78:VYN78"/>
    <mergeCell ref="VYO78:VYP78"/>
    <mergeCell ref="VYQ78:VYR78"/>
    <mergeCell ref="VXY78:VXZ78"/>
    <mergeCell ref="VYA78:VYB78"/>
    <mergeCell ref="VYC78:VYD78"/>
    <mergeCell ref="VYE78:VYF78"/>
    <mergeCell ref="VYG78:VYH78"/>
    <mergeCell ref="WAQ78:WAR78"/>
    <mergeCell ref="WAS78:WAT78"/>
    <mergeCell ref="WAU78:WAV78"/>
    <mergeCell ref="WAW78:WAX78"/>
    <mergeCell ref="WAY78:WAZ78"/>
    <mergeCell ref="WAG78:WAH78"/>
    <mergeCell ref="WAI78:WAJ78"/>
    <mergeCell ref="WAK78:WAL78"/>
    <mergeCell ref="WAM78:WAN78"/>
    <mergeCell ref="WAO78:WAP78"/>
    <mergeCell ref="VZW78:VZX78"/>
    <mergeCell ref="VZY78:VZZ78"/>
    <mergeCell ref="WAA78:WAB78"/>
    <mergeCell ref="WAC78:WAD78"/>
    <mergeCell ref="WAE78:WAF78"/>
    <mergeCell ref="VZM78:VZN78"/>
    <mergeCell ref="VZO78:VZP78"/>
    <mergeCell ref="VZQ78:VZR78"/>
    <mergeCell ref="VZS78:VZT78"/>
    <mergeCell ref="VZU78:VZV78"/>
    <mergeCell ref="WCE78:WCF78"/>
    <mergeCell ref="WCG78:WCH78"/>
    <mergeCell ref="WCI78:WCJ78"/>
    <mergeCell ref="WCK78:WCL78"/>
    <mergeCell ref="WCM78:WCN78"/>
    <mergeCell ref="WBU78:WBV78"/>
    <mergeCell ref="WBW78:WBX78"/>
    <mergeCell ref="WBY78:WBZ78"/>
    <mergeCell ref="WCA78:WCB78"/>
    <mergeCell ref="WCC78:WCD78"/>
    <mergeCell ref="WBK78:WBL78"/>
    <mergeCell ref="WBM78:WBN78"/>
    <mergeCell ref="WBO78:WBP78"/>
    <mergeCell ref="WBQ78:WBR78"/>
    <mergeCell ref="WBS78:WBT78"/>
    <mergeCell ref="WBA78:WBB78"/>
    <mergeCell ref="WBC78:WBD78"/>
    <mergeCell ref="WBE78:WBF78"/>
    <mergeCell ref="WBG78:WBH78"/>
    <mergeCell ref="WBI78:WBJ78"/>
    <mergeCell ref="WDS78:WDT78"/>
    <mergeCell ref="WDU78:WDV78"/>
    <mergeCell ref="WDW78:WDX78"/>
    <mergeCell ref="WDY78:WDZ78"/>
    <mergeCell ref="WEA78:WEB78"/>
    <mergeCell ref="WDI78:WDJ78"/>
    <mergeCell ref="WDK78:WDL78"/>
    <mergeCell ref="WDM78:WDN78"/>
    <mergeCell ref="WDO78:WDP78"/>
    <mergeCell ref="WDQ78:WDR78"/>
    <mergeCell ref="WCY78:WCZ78"/>
    <mergeCell ref="WDA78:WDB78"/>
    <mergeCell ref="WDC78:WDD78"/>
    <mergeCell ref="WDE78:WDF78"/>
    <mergeCell ref="WDG78:WDH78"/>
    <mergeCell ref="WCO78:WCP78"/>
    <mergeCell ref="WCQ78:WCR78"/>
    <mergeCell ref="WCS78:WCT78"/>
    <mergeCell ref="WCU78:WCV78"/>
    <mergeCell ref="WCW78:WCX78"/>
    <mergeCell ref="WFG78:WFH78"/>
    <mergeCell ref="WFI78:WFJ78"/>
    <mergeCell ref="WFK78:WFL78"/>
    <mergeCell ref="WFM78:WFN78"/>
    <mergeCell ref="WFO78:WFP78"/>
    <mergeCell ref="WEW78:WEX78"/>
    <mergeCell ref="WEY78:WEZ78"/>
    <mergeCell ref="WFA78:WFB78"/>
    <mergeCell ref="WFC78:WFD78"/>
    <mergeCell ref="WFE78:WFF78"/>
    <mergeCell ref="WEM78:WEN78"/>
    <mergeCell ref="WEO78:WEP78"/>
    <mergeCell ref="WEQ78:WER78"/>
    <mergeCell ref="WES78:WET78"/>
    <mergeCell ref="WEU78:WEV78"/>
    <mergeCell ref="WEC78:WED78"/>
    <mergeCell ref="WEE78:WEF78"/>
    <mergeCell ref="WEG78:WEH78"/>
    <mergeCell ref="WEI78:WEJ78"/>
    <mergeCell ref="WEK78:WEL78"/>
    <mergeCell ref="WGU78:WGV78"/>
    <mergeCell ref="WGW78:WGX78"/>
    <mergeCell ref="WGY78:WGZ78"/>
    <mergeCell ref="WHA78:WHB78"/>
    <mergeCell ref="WHC78:WHD78"/>
    <mergeCell ref="WGK78:WGL78"/>
    <mergeCell ref="WGM78:WGN78"/>
    <mergeCell ref="WGO78:WGP78"/>
    <mergeCell ref="WGQ78:WGR78"/>
    <mergeCell ref="WGS78:WGT78"/>
    <mergeCell ref="WGA78:WGB78"/>
    <mergeCell ref="WGC78:WGD78"/>
    <mergeCell ref="WGE78:WGF78"/>
    <mergeCell ref="WGG78:WGH78"/>
    <mergeCell ref="WGI78:WGJ78"/>
    <mergeCell ref="WFQ78:WFR78"/>
    <mergeCell ref="WFS78:WFT78"/>
    <mergeCell ref="WFU78:WFV78"/>
    <mergeCell ref="WFW78:WFX78"/>
    <mergeCell ref="WFY78:WFZ78"/>
    <mergeCell ref="WII78:WIJ78"/>
    <mergeCell ref="WIK78:WIL78"/>
    <mergeCell ref="WIM78:WIN78"/>
    <mergeCell ref="WIO78:WIP78"/>
    <mergeCell ref="WIQ78:WIR78"/>
    <mergeCell ref="WHY78:WHZ78"/>
    <mergeCell ref="WIA78:WIB78"/>
    <mergeCell ref="WIC78:WID78"/>
    <mergeCell ref="WIE78:WIF78"/>
    <mergeCell ref="WIG78:WIH78"/>
    <mergeCell ref="WHO78:WHP78"/>
    <mergeCell ref="WHQ78:WHR78"/>
    <mergeCell ref="WHS78:WHT78"/>
    <mergeCell ref="WHU78:WHV78"/>
    <mergeCell ref="WHW78:WHX78"/>
    <mergeCell ref="WHE78:WHF78"/>
    <mergeCell ref="WHG78:WHH78"/>
    <mergeCell ref="WHI78:WHJ78"/>
    <mergeCell ref="WHK78:WHL78"/>
    <mergeCell ref="WHM78:WHN78"/>
    <mergeCell ref="WJW78:WJX78"/>
    <mergeCell ref="WJY78:WJZ78"/>
    <mergeCell ref="WKA78:WKB78"/>
    <mergeCell ref="WKC78:WKD78"/>
    <mergeCell ref="WKE78:WKF78"/>
    <mergeCell ref="WJM78:WJN78"/>
    <mergeCell ref="WJO78:WJP78"/>
    <mergeCell ref="WJQ78:WJR78"/>
    <mergeCell ref="WJS78:WJT78"/>
    <mergeCell ref="WJU78:WJV78"/>
    <mergeCell ref="WJC78:WJD78"/>
    <mergeCell ref="WJE78:WJF78"/>
    <mergeCell ref="WJG78:WJH78"/>
    <mergeCell ref="WJI78:WJJ78"/>
    <mergeCell ref="WJK78:WJL78"/>
    <mergeCell ref="WIS78:WIT78"/>
    <mergeCell ref="WIU78:WIV78"/>
    <mergeCell ref="WIW78:WIX78"/>
    <mergeCell ref="WIY78:WIZ78"/>
    <mergeCell ref="WJA78:WJB78"/>
    <mergeCell ref="WLK78:WLL78"/>
    <mergeCell ref="WLM78:WLN78"/>
    <mergeCell ref="WLO78:WLP78"/>
    <mergeCell ref="WLQ78:WLR78"/>
    <mergeCell ref="WLS78:WLT78"/>
    <mergeCell ref="WLA78:WLB78"/>
    <mergeCell ref="WLC78:WLD78"/>
    <mergeCell ref="WLE78:WLF78"/>
    <mergeCell ref="WLG78:WLH78"/>
    <mergeCell ref="WLI78:WLJ78"/>
    <mergeCell ref="WKQ78:WKR78"/>
    <mergeCell ref="WKS78:WKT78"/>
    <mergeCell ref="WKU78:WKV78"/>
    <mergeCell ref="WKW78:WKX78"/>
    <mergeCell ref="WKY78:WKZ78"/>
    <mergeCell ref="WKG78:WKH78"/>
    <mergeCell ref="WKI78:WKJ78"/>
    <mergeCell ref="WKK78:WKL78"/>
    <mergeCell ref="WKM78:WKN78"/>
    <mergeCell ref="WKO78:WKP78"/>
    <mergeCell ref="WMY78:WMZ78"/>
    <mergeCell ref="WNA78:WNB78"/>
    <mergeCell ref="WNC78:WND78"/>
    <mergeCell ref="WNE78:WNF78"/>
    <mergeCell ref="WNG78:WNH78"/>
    <mergeCell ref="WMO78:WMP78"/>
    <mergeCell ref="WMQ78:WMR78"/>
    <mergeCell ref="WMS78:WMT78"/>
    <mergeCell ref="WMU78:WMV78"/>
    <mergeCell ref="WMW78:WMX78"/>
    <mergeCell ref="WME78:WMF78"/>
    <mergeCell ref="WMG78:WMH78"/>
    <mergeCell ref="WMI78:WMJ78"/>
    <mergeCell ref="WMK78:WML78"/>
    <mergeCell ref="WMM78:WMN78"/>
    <mergeCell ref="WLU78:WLV78"/>
    <mergeCell ref="WLW78:WLX78"/>
    <mergeCell ref="WLY78:WLZ78"/>
    <mergeCell ref="WMA78:WMB78"/>
    <mergeCell ref="WMC78:WMD78"/>
    <mergeCell ref="WOM78:WON78"/>
    <mergeCell ref="WOO78:WOP78"/>
    <mergeCell ref="WOQ78:WOR78"/>
    <mergeCell ref="WOS78:WOT78"/>
    <mergeCell ref="WOU78:WOV78"/>
    <mergeCell ref="WOC78:WOD78"/>
    <mergeCell ref="WOE78:WOF78"/>
    <mergeCell ref="WOG78:WOH78"/>
    <mergeCell ref="WOI78:WOJ78"/>
    <mergeCell ref="WOK78:WOL78"/>
    <mergeCell ref="WNS78:WNT78"/>
    <mergeCell ref="WNU78:WNV78"/>
    <mergeCell ref="WNW78:WNX78"/>
    <mergeCell ref="WNY78:WNZ78"/>
    <mergeCell ref="WOA78:WOB78"/>
    <mergeCell ref="WNI78:WNJ78"/>
    <mergeCell ref="WNK78:WNL78"/>
    <mergeCell ref="WNM78:WNN78"/>
    <mergeCell ref="WNO78:WNP78"/>
    <mergeCell ref="WNQ78:WNR78"/>
    <mergeCell ref="WQA78:WQB78"/>
    <mergeCell ref="WQC78:WQD78"/>
    <mergeCell ref="WQE78:WQF78"/>
    <mergeCell ref="WQG78:WQH78"/>
    <mergeCell ref="WQI78:WQJ78"/>
    <mergeCell ref="WPQ78:WPR78"/>
    <mergeCell ref="WPS78:WPT78"/>
    <mergeCell ref="WPU78:WPV78"/>
    <mergeCell ref="WPW78:WPX78"/>
    <mergeCell ref="WPY78:WPZ78"/>
    <mergeCell ref="WPG78:WPH78"/>
    <mergeCell ref="WPI78:WPJ78"/>
    <mergeCell ref="WPK78:WPL78"/>
    <mergeCell ref="WPM78:WPN78"/>
    <mergeCell ref="WPO78:WPP78"/>
    <mergeCell ref="WOW78:WOX78"/>
    <mergeCell ref="WOY78:WOZ78"/>
    <mergeCell ref="WPA78:WPB78"/>
    <mergeCell ref="WPC78:WPD78"/>
    <mergeCell ref="WPE78:WPF78"/>
    <mergeCell ref="WRO78:WRP78"/>
    <mergeCell ref="WRQ78:WRR78"/>
    <mergeCell ref="WRS78:WRT78"/>
    <mergeCell ref="WRU78:WRV78"/>
    <mergeCell ref="WRW78:WRX78"/>
    <mergeCell ref="WRE78:WRF78"/>
    <mergeCell ref="WRG78:WRH78"/>
    <mergeCell ref="WRI78:WRJ78"/>
    <mergeCell ref="WRK78:WRL78"/>
    <mergeCell ref="WRM78:WRN78"/>
    <mergeCell ref="WQU78:WQV78"/>
    <mergeCell ref="WQW78:WQX78"/>
    <mergeCell ref="WQY78:WQZ78"/>
    <mergeCell ref="WRA78:WRB78"/>
    <mergeCell ref="WRC78:WRD78"/>
    <mergeCell ref="WQK78:WQL78"/>
    <mergeCell ref="WQM78:WQN78"/>
    <mergeCell ref="WQO78:WQP78"/>
    <mergeCell ref="WQQ78:WQR78"/>
    <mergeCell ref="WQS78:WQT78"/>
    <mergeCell ref="WTC78:WTD78"/>
    <mergeCell ref="WTE78:WTF78"/>
    <mergeCell ref="WTG78:WTH78"/>
    <mergeCell ref="WTI78:WTJ78"/>
    <mergeCell ref="WTK78:WTL78"/>
    <mergeCell ref="WSS78:WST78"/>
    <mergeCell ref="WSU78:WSV78"/>
    <mergeCell ref="WSW78:WSX78"/>
    <mergeCell ref="WSY78:WSZ78"/>
    <mergeCell ref="WTA78:WTB78"/>
    <mergeCell ref="WSI78:WSJ78"/>
    <mergeCell ref="WSK78:WSL78"/>
    <mergeCell ref="WSM78:WSN78"/>
    <mergeCell ref="WSO78:WSP78"/>
    <mergeCell ref="WSQ78:WSR78"/>
    <mergeCell ref="WRY78:WRZ78"/>
    <mergeCell ref="WSA78:WSB78"/>
    <mergeCell ref="WSC78:WSD78"/>
    <mergeCell ref="WSE78:WSF78"/>
    <mergeCell ref="WSG78:WSH78"/>
    <mergeCell ref="WUQ78:WUR78"/>
    <mergeCell ref="WUS78:WUT78"/>
    <mergeCell ref="WUU78:WUV78"/>
    <mergeCell ref="WUW78:WUX78"/>
    <mergeCell ref="WUY78:WUZ78"/>
    <mergeCell ref="WUG78:WUH78"/>
    <mergeCell ref="WUI78:WUJ78"/>
    <mergeCell ref="WUK78:WUL78"/>
    <mergeCell ref="WUM78:WUN78"/>
    <mergeCell ref="WUO78:WUP78"/>
    <mergeCell ref="WTW78:WTX78"/>
    <mergeCell ref="WTY78:WTZ78"/>
    <mergeCell ref="WUA78:WUB78"/>
    <mergeCell ref="WUC78:WUD78"/>
    <mergeCell ref="WUE78:WUF78"/>
    <mergeCell ref="WTM78:WTN78"/>
    <mergeCell ref="WTO78:WTP78"/>
    <mergeCell ref="WTQ78:WTR78"/>
    <mergeCell ref="WTS78:WTT78"/>
    <mergeCell ref="WTU78:WTV78"/>
    <mergeCell ref="WWE78:WWF78"/>
    <mergeCell ref="WWG78:WWH78"/>
    <mergeCell ref="WWI78:WWJ78"/>
    <mergeCell ref="WWK78:WWL78"/>
    <mergeCell ref="WWM78:WWN78"/>
    <mergeCell ref="WVU78:WVV78"/>
    <mergeCell ref="WVW78:WVX78"/>
    <mergeCell ref="WVY78:WVZ78"/>
    <mergeCell ref="WWA78:WWB78"/>
    <mergeCell ref="WWC78:WWD78"/>
    <mergeCell ref="WVK78:WVL78"/>
    <mergeCell ref="WVM78:WVN78"/>
    <mergeCell ref="WVO78:WVP78"/>
    <mergeCell ref="WVQ78:WVR78"/>
    <mergeCell ref="WVS78:WVT78"/>
    <mergeCell ref="WVA78:WVB78"/>
    <mergeCell ref="WVC78:WVD78"/>
    <mergeCell ref="WVE78:WVF78"/>
    <mergeCell ref="WVG78:WVH78"/>
    <mergeCell ref="WVI78:WVJ78"/>
    <mergeCell ref="WXS78:WXT78"/>
    <mergeCell ref="WXU78:WXV78"/>
    <mergeCell ref="WXW78:WXX78"/>
    <mergeCell ref="WXY78:WXZ78"/>
    <mergeCell ref="WYA78:WYB78"/>
    <mergeCell ref="WXI78:WXJ78"/>
    <mergeCell ref="WXK78:WXL78"/>
    <mergeCell ref="WXM78:WXN78"/>
    <mergeCell ref="WXO78:WXP78"/>
    <mergeCell ref="WXQ78:WXR78"/>
    <mergeCell ref="WWY78:WWZ78"/>
    <mergeCell ref="WXA78:WXB78"/>
    <mergeCell ref="WXC78:WXD78"/>
    <mergeCell ref="WXE78:WXF78"/>
    <mergeCell ref="WXG78:WXH78"/>
    <mergeCell ref="WWO78:WWP78"/>
    <mergeCell ref="WWQ78:WWR78"/>
    <mergeCell ref="WWS78:WWT78"/>
    <mergeCell ref="WWU78:WWV78"/>
    <mergeCell ref="WWW78:WWX78"/>
    <mergeCell ref="WZG78:WZH78"/>
    <mergeCell ref="WZI78:WZJ78"/>
    <mergeCell ref="WZK78:WZL78"/>
    <mergeCell ref="WZM78:WZN78"/>
    <mergeCell ref="WZO78:WZP78"/>
    <mergeCell ref="WYW78:WYX78"/>
    <mergeCell ref="WYY78:WYZ78"/>
    <mergeCell ref="WZA78:WZB78"/>
    <mergeCell ref="WZC78:WZD78"/>
    <mergeCell ref="WZE78:WZF78"/>
    <mergeCell ref="WYM78:WYN78"/>
    <mergeCell ref="WYO78:WYP78"/>
    <mergeCell ref="WYQ78:WYR78"/>
    <mergeCell ref="WYS78:WYT78"/>
    <mergeCell ref="WYU78:WYV78"/>
    <mergeCell ref="WYC78:WYD78"/>
    <mergeCell ref="WYE78:WYF78"/>
    <mergeCell ref="WYG78:WYH78"/>
    <mergeCell ref="WYI78:WYJ78"/>
    <mergeCell ref="WYK78:WYL78"/>
    <mergeCell ref="XAU78:XAV78"/>
    <mergeCell ref="XAW78:XAX78"/>
    <mergeCell ref="XAY78:XAZ78"/>
    <mergeCell ref="XBA78:XBB78"/>
    <mergeCell ref="XBC78:XBD78"/>
    <mergeCell ref="XAK78:XAL78"/>
    <mergeCell ref="XAM78:XAN78"/>
    <mergeCell ref="XAO78:XAP78"/>
    <mergeCell ref="XAQ78:XAR78"/>
    <mergeCell ref="XAS78:XAT78"/>
    <mergeCell ref="XAA78:XAB78"/>
    <mergeCell ref="XAC78:XAD78"/>
    <mergeCell ref="XAE78:XAF78"/>
    <mergeCell ref="XAG78:XAH78"/>
    <mergeCell ref="XAI78:XAJ78"/>
    <mergeCell ref="WZQ78:WZR78"/>
    <mergeCell ref="WZS78:WZT78"/>
    <mergeCell ref="WZU78:WZV78"/>
    <mergeCell ref="WZW78:WZX78"/>
    <mergeCell ref="WZY78:WZZ78"/>
    <mergeCell ref="XDA78:XDB78"/>
    <mergeCell ref="XCI78:XCJ78"/>
    <mergeCell ref="XCK78:XCL78"/>
    <mergeCell ref="XCM78:XCN78"/>
    <mergeCell ref="XCO78:XCP78"/>
    <mergeCell ref="XCQ78:XCR78"/>
    <mergeCell ref="XBY78:XBZ78"/>
    <mergeCell ref="XCA78:XCB78"/>
    <mergeCell ref="XCC78:XCD78"/>
    <mergeCell ref="XCE78:XCF78"/>
    <mergeCell ref="XCG78:XCH78"/>
    <mergeCell ref="XBO78:XBP78"/>
    <mergeCell ref="XBQ78:XBR78"/>
    <mergeCell ref="XBS78:XBT78"/>
    <mergeCell ref="XBU78:XBV78"/>
    <mergeCell ref="XBW78:XBX78"/>
    <mergeCell ref="XBE78:XBF78"/>
    <mergeCell ref="XBG78:XBH78"/>
    <mergeCell ref="XBI78:XBJ78"/>
    <mergeCell ref="XBK78:XBL78"/>
    <mergeCell ref="XBM78:XBN78"/>
    <mergeCell ref="XFA78:XFB78"/>
    <mergeCell ref="XFC78:XFD78"/>
    <mergeCell ref="A78:A90"/>
    <mergeCell ref="XEQ78:XER78"/>
    <mergeCell ref="XES78:XET78"/>
    <mergeCell ref="XEU78:XEV78"/>
    <mergeCell ref="XEW78:XEX78"/>
    <mergeCell ref="XEY78:XEZ78"/>
    <mergeCell ref="XEG78:XEH78"/>
    <mergeCell ref="XEI78:XEJ78"/>
    <mergeCell ref="XEK78:XEL78"/>
    <mergeCell ref="XEM78:XEN78"/>
    <mergeCell ref="XEO78:XEP78"/>
    <mergeCell ref="XDW78:XDX78"/>
    <mergeCell ref="XDY78:XDZ78"/>
    <mergeCell ref="XEA78:XEB78"/>
    <mergeCell ref="XEC78:XED78"/>
    <mergeCell ref="XEE78:XEF78"/>
    <mergeCell ref="XDM78:XDN78"/>
    <mergeCell ref="XDO78:XDP78"/>
    <mergeCell ref="XDQ78:XDR78"/>
    <mergeCell ref="XDS78:XDT78"/>
    <mergeCell ref="XDU78:XDV78"/>
    <mergeCell ref="XDC78:XDD78"/>
    <mergeCell ref="XDE78:XDF78"/>
    <mergeCell ref="XDG78:XDH78"/>
    <mergeCell ref="XDI78:XDJ78"/>
    <mergeCell ref="XDK78:XDL78"/>
    <mergeCell ref="XCS78:XCT78"/>
    <mergeCell ref="XCU78:XCV78"/>
    <mergeCell ref="XCW78:XCX78"/>
    <mergeCell ref="XCY78:XCZ7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Community Profile</vt:lpstr>
      <vt:lpstr>POPULATIONS</vt:lpstr>
      <vt:lpstr>Quality of Life</vt:lpstr>
      <vt:lpstr>Labor Force</vt:lpstr>
      <vt:lpstr>OnTheMap</vt:lpstr>
      <vt:lpstr>Woods + Poole</vt:lpstr>
      <vt:lpstr>Crime Data - waiting</vt:lpstr>
      <vt:lpstr>Housing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Durham, Alan R</dc:creator>
  <cp:lastModifiedBy>Meek, Alfie</cp:lastModifiedBy>
  <dcterms:created xsi:type="dcterms:W3CDTF">2026-03-26T17:58:07Z</dcterms:created>
  <dcterms:modified xsi:type="dcterms:W3CDTF">2026-07-23T22:55:20Z</dcterms:modified>
</cp:coreProperties>
</file>